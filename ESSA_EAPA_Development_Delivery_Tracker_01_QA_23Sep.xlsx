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name="📋 Latest Tracker" sheetId="1" state="visible" r:id="rId1"/>
    <sheet name="📝 Daily Scrum Log" sheetId="2" state="visible" r:id="rId2"/>
    <sheet name="Sheet2" sheetId="3" state="hidden" r:id="rId3"/>
    <sheet name="📊 Summary" sheetId="4" state="visible" r:id="rId4"/>
    <sheet name="Status Master" sheetId="5" state="hidden" r:id="rId5"/>
    <sheet name="📦 Delivery Tracker" sheetId="6" state="hidden" r:id="rId6"/>
    <sheet name="⚠️ Open Inputs" sheetId="7" state="hidden" r:id="rId7"/>
    <sheet name="🗓️ Holidays &amp; Lists" sheetId="8" state="hidden" r:id="rId8"/>
  </sheets>
  <definedNames>
    <definedName name="_xlnm._FilterDatabase" localSheetId="0" hidden="1">'📋 Latest Tracker'!$A$1:$N$168</definedName>
    <definedName name="_xlnm._FilterDatabase" localSheetId="1" hidden="1">'📝 Daily Scrum Log'!$A$3:$G$44</definedName>
    <definedName name="_xlnm._FilterDatabase" localSheetId="5" hidden="1">'📦 Delivery Tracker'!$A$3:$O$116</definedName>
  </definedNames>
  <calcPr calcId="191028" fullCalcOnLoad="1"/>
</workbook>
</file>

<file path=xl/styles.xml><?xml version="1.0" encoding="utf-8"?>
<styleSheet xmlns="http://schemas.openxmlformats.org/spreadsheetml/2006/main">
  <numFmts count="0"/>
  <fonts count="44">
    <font>
      <name val="Calibri"/>
      <charset val="1"/>
      <family val="2"/>
      <color theme="1"/>
      <sz val="11"/>
    </font>
    <font>
      <name val="Arial"/>
      <charset val="1"/>
      <family val="2"/>
      <b val="1"/>
      <color rgb="FFFFFFFF"/>
      <sz val="9"/>
    </font>
    <font>
      <name val="Arial"/>
      <charset val="1"/>
      <family val="2"/>
      <color rgb="FF000000"/>
      <sz val="9"/>
    </font>
    <font>
      <name val="Arial"/>
      <charset val="1"/>
      <family val="2"/>
      <b val="1"/>
      <color rgb="FF006100"/>
      <sz val="9"/>
    </font>
    <font>
      <name val="Arial"/>
      <charset val="1"/>
      <family val="2"/>
      <b val="1"/>
      <color rgb="FF000000"/>
      <sz val="9"/>
    </font>
    <font>
      <name val="Arial"/>
      <charset val="1"/>
      <family val="2"/>
      <b val="1"/>
      <color rgb="FF595959"/>
      <sz val="9"/>
    </font>
    <font>
      <name val="Arial"/>
      <charset val="1"/>
      <family val="2"/>
      <sz val="9"/>
    </font>
    <font>
      <name val="Arial"/>
      <charset val="1"/>
      <family val="2"/>
      <color rgb="FF595959"/>
      <sz val="9"/>
    </font>
    <font>
      <name val="Arial"/>
      <charset val="1"/>
      <family val="2"/>
      <b val="1"/>
      <color rgb="FF274E13"/>
      <sz val="9"/>
    </font>
    <font>
      <name val="Arial"/>
      <charset val="1"/>
      <family val="2"/>
      <b val="1"/>
      <color rgb="FF000000"/>
      <sz val="11"/>
    </font>
    <font>
      <name val="Arial"/>
      <charset val="1"/>
      <family val="2"/>
      <b val="1"/>
      <color rgb="FF000000"/>
      <sz val="12"/>
    </font>
    <font>
      <name val="Arial"/>
      <charset val="1"/>
      <family val="2"/>
      <b val="1"/>
      <color rgb="FF9C6500"/>
      <sz val="9"/>
    </font>
    <font>
      <name val="Calibri Light"/>
      <charset val="1"/>
      <family val="2"/>
      <color rgb="FF000000"/>
      <sz val="10"/>
    </font>
    <font>
      <name val="Calibri"/>
      <charset val="1"/>
      <family val="2"/>
      <color rgb="FF000000"/>
      <sz val="11"/>
    </font>
    <font>
      <name val="Arial"/>
      <charset val="1"/>
      <family val="2"/>
      <b val="1"/>
      <color rgb="FFFFFFFF"/>
      <sz val="14"/>
    </font>
    <font>
      <name val="Arial"/>
      <charset val="1"/>
      <family val="2"/>
      <i val="1"/>
      <color rgb="FFFFFFFF"/>
      <sz val="9"/>
    </font>
    <font>
      <name val="Arial"/>
      <charset val="1"/>
      <family val="2"/>
      <b val="1"/>
      <color rgb="FFFFFFFF"/>
      <sz val="10"/>
    </font>
    <font>
      <name val="Arial"/>
      <charset val="1"/>
      <family val="2"/>
      <b val="1"/>
      <sz val="9"/>
    </font>
    <font>
      <name val="Arial"/>
      <family val="2"/>
      <sz val="9"/>
    </font>
    <font>
      <name val="Arial"/>
      <family val="2"/>
      <b val="1"/>
      <color rgb="FF000000"/>
      <sz val="9"/>
    </font>
    <font>
      <name val="Arial"/>
      <family val="2"/>
      <b val="1"/>
      <sz val="9"/>
    </font>
    <font>
      <name val="Arial"/>
      <charset val="1"/>
      <family val="2"/>
      <b val="1"/>
      <color rgb="FF000000"/>
      <sz val="10"/>
    </font>
    <font>
      <name val="Arial"/>
      <charset val="1"/>
      <family val="2"/>
      <b val="1"/>
      <color rgb="FF1F4E79"/>
      <sz val="11"/>
    </font>
    <font>
      <name val="Arial"/>
      <charset val="1"/>
      <family val="2"/>
      <b val="1"/>
      <color rgb="FF375623"/>
      <sz val="11"/>
    </font>
    <font>
      <name val="Calibri"/>
      <charset val="1"/>
      <family val="2"/>
      <b val="1"/>
      <color theme="1"/>
      <sz val="11"/>
    </font>
    <font>
      <name val="Calibri"/>
      <charset val="1"/>
      <family val="2"/>
      <color rgb="FF14181F"/>
      <sz val="10"/>
    </font>
    <font>
      <name val="Arial"/>
      <charset val="1"/>
      <family val="2"/>
      <color rgb="FF000000"/>
      <sz val="8"/>
    </font>
    <font>
      <name val="Arial"/>
      <charset val="1"/>
      <family val="2"/>
      <b val="1"/>
      <color rgb="FFFFFFFF"/>
      <sz val="8"/>
    </font>
    <font>
      <name val="Arial"/>
      <charset val="1"/>
      <family val="2"/>
      <b val="1"/>
      <color rgb="FF375623"/>
      <sz val="9"/>
    </font>
    <font>
      <name val="Arial"/>
      <charset val="1"/>
      <family val="2"/>
      <color rgb="FF595959"/>
      <sz val="8"/>
    </font>
    <font>
      <name val="Arial"/>
      <charset val="1"/>
      <family val="2"/>
      <b val="1"/>
      <color rgb="FF7D4E00"/>
      <sz val="9"/>
    </font>
    <font>
      <name val="Arial"/>
      <charset val="1"/>
      <family val="2"/>
      <b val="1"/>
      <color rgb="FFC00000"/>
      <sz val="9"/>
    </font>
    <font>
      <name val="Arial"/>
      <charset val="1"/>
      <family val="2"/>
      <b val="1"/>
      <color rgb="FFFFFFFF"/>
      <sz val="12"/>
    </font>
    <font>
      <name val="Arial"/>
      <charset val="1"/>
      <family val="2"/>
      <color rgb="FF000000"/>
      <sz val="10"/>
    </font>
    <font>
      <name val="Arial"/>
      <charset val="1"/>
      <family val="2"/>
      <b val="1"/>
      <color rgb="FF4A235A"/>
      <sz val="9"/>
    </font>
    <font>
      <name val="Calibri"/>
      <family val="2"/>
      <color rgb="FF006100"/>
      <sz val="11"/>
      <scheme val="minor"/>
    </font>
    <font>
      <name val="Arial"/>
      <family val="2"/>
      <color rgb="FF000000"/>
      <sz val="9"/>
    </font>
    <font>
      <name val="Arial"/>
      <family val="2"/>
      <b val="1"/>
      <color rgb="FF274E13"/>
      <sz val="9"/>
    </font>
    <font>
      <name val="Calibri"/>
      <family val="2"/>
      <b val="1"/>
      <color rgb="FF006100"/>
      <sz val="11"/>
      <scheme val="minor"/>
    </font>
    <font>
      <name val="Arial"/>
      <family val="2"/>
      <strike val="1"/>
      <sz val="9"/>
    </font>
    <font>
      <name val="Arial"/>
      <sz val="9"/>
    </font>
    <font>
      <name val="Arial"/>
      <b val="1"/>
      <color rgb="FF000000"/>
      <sz val="9"/>
    </font>
    <font>
      <name val="Arial"/>
      <b val="1"/>
      <sz val="9"/>
    </font>
    <font>
      <name val="Calibri"/>
      <b val="1"/>
      <color rgb="FF006100"/>
      <sz val="11"/>
      <scheme val="minor"/>
    </font>
  </fonts>
  <fills count="42">
    <fill>
      <patternFill/>
    </fill>
    <fill>
      <patternFill patternType="gray125"/>
    </fill>
    <fill>
      <patternFill patternType="solid">
        <fgColor rgb="FF1F4E78"/>
        <bgColor rgb="FF1F4E79"/>
      </patternFill>
    </fill>
    <fill>
      <patternFill patternType="solid">
        <fgColor rgb="FFC6EFCE"/>
        <bgColor rgb="FFD9EAD3"/>
      </patternFill>
    </fill>
    <fill>
      <patternFill patternType="solid">
        <fgColor rgb="FFFFFF00"/>
        <bgColor rgb="FFFFF2CC"/>
      </patternFill>
    </fill>
    <fill>
      <patternFill patternType="solid">
        <fgColor rgb="FF808080"/>
        <bgColor rgb="FFA6A6A6"/>
      </patternFill>
    </fill>
    <fill>
      <patternFill patternType="solid">
        <fgColor rgb="FFD9EAD3"/>
        <bgColor rgb="FFE2EFDA"/>
      </patternFill>
    </fill>
    <fill>
      <patternFill patternType="solid">
        <fgColor rgb="FFEAF2F8"/>
        <bgColor rgb="FFF2F2F2"/>
      </patternFill>
    </fill>
    <fill>
      <patternFill patternType="solid">
        <fgColor rgb="FFE7E6E6"/>
        <bgColor rgb="FFE2EFDA"/>
      </patternFill>
    </fill>
    <fill>
      <patternFill patternType="solid">
        <fgColor rgb="FFE2F0D9"/>
        <bgColor rgb="FFE2EFDA"/>
      </patternFill>
    </fill>
    <fill>
      <patternFill patternType="solid">
        <fgColor rgb="FFFFF2CC"/>
        <bgColor rgb="FFFFF0E0"/>
      </patternFill>
    </fill>
    <fill>
      <patternFill patternType="solid">
        <fgColor rgb="FFFCE4D6"/>
        <bgColor rgb="FFFFE0E0"/>
      </patternFill>
    </fill>
    <fill>
      <patternFill patternType="solid">
        <fgColor rgb="FF1F4E79"/>
        <bgColor rgb="FF1F4E78"/>
      </patternFill>
    </fill>
    <fill>
      <patternFill patternType="solid">
        <fgColor rgb="FF2F5496"/>
        <bgColor rgb="FF1F4E79"/>
      </patternFill>
    </fill>
    <fill>
      <patternFill patternType="solid">
        <fgColor rgb="FFF2F2F2"/>
        <bgColor rgb="FFEAF2F8"/>
      </patternFill>
    </fill>
    <fill>
      <patternFill patternType="solid">
        <fgColor rgb="FFFFFFFF"/>
        <bgColor rgb="FFF2F2F2"/>
      </patternFill>
    </fill>
    <fill>
      <patternFill patternType="solid">
        <fgColor rgb="FF375623"/>
        <bgColor rgb="FF274E13"/>
      </patternFill>
    </fill>
    <fill>
      <patternFill patternType="solid">
        <fgColor rgb="FFD6E4F0"/>
        <bgColor rgb="FFD0EEEE"/>
      </patternFill>
    </fill>
    <fill>
      <patternFill patternType="solid">
        <fgColor rgb="FFE2EFDA"/>
        <bgColor rgb="FFE2F0D9"/>
      </patternFill>
    </fill>
    <fill>
      <patternFill patternType="solid">
        <fgColor rgb="FFEAD1F5"/>
        <bgColor rgb="FFD9D9D9"/>
      </patternFill>
    </fill>
    <fill>
      <patternFill patternType="solid">
        <fgColor rgb="FFD0EEEE"/>
        <bgColor rgb="FFD6E4F0"/>
      </patternFill>
    </fill>
    <fill>
      <patternFill patternType="solid">
        <fgColor rgb="FFFFF0E0"/>
        <bgColor rgb="FFFFF2CC"/>
      </patternFill>
    </fill>
    <fill>
      <patternFill patternType="solid">
        <fgColor rgb="FFE0F0FF"/>
        <bgColor rgb="FFEAF2F8"/>
      </patternFill>
    </fill>
    <fill>
      <patternFill patternType="solid">
        <fgColor rgb="FFF0FFE0"/>
        <bgColor rgb="FFF2F2F2"/>
      </patternFill>
    </fill>
    <fill>
      <patternFill patternType="solid">
        <fgColor rgb="FFFFE0F0"/>
        <bgColor rgb="FFFFE0E0"/>
      </patternFill>
    </fill>
    <fill>
      <patternFill patternType="solid">
        <fgColor rgb="FFD9D9D9"/>
        <bgColor rgb="FFD6E4F0"/>
      </patternFill>
    </fill>
    <fill>
      <patternFill patternType="solid">
        <fgColor rgb="FF4A235A"/>
        <bgColor rgb="FF660066"/>
      </patternFill>
    </fill>
    <fill>
      <patternFill patternType="solid">
        <fgColor theme="0" tint="-0.3499862666707358"/>
        <bgColor rgb="FFCCCCCC"/>
      </patternFill>
    </fill>
    <fill>
      <patternFill patternType="solid">
        <fgColor rgb="FF7D4E00"/>
        <bgColor rgb="FF7F6000"/>
      </patternFill>
    </fill>
    <fill>
      <patternFill patternType="solid">
        <fgColor rgb="FFFFE0E0"/>
        <bgColor rgb="FFFCE4D6"/>
      </patternFill>
    </fill>
    <fill>
      <patternFill patternType="solid">
        <fgColor rgb="FFC00000"/>
        <bgColor rgb="FF800000"/>
      </patternFill>
    </fill>
    <fill>
      <patternFill patternType="solid">
        <fgColor rgb="FF005F5F"/>
        <bgColor rgb="FF1F4E78"/>
      </patternFill>
    </fill>
    <fill>
      <patternFill patternType="solid">
        <fgColor rgb="FFFFC000"/>
        <bgColor indexed="64"/>
      </patternFill>
    </fill>
    <fill>
      <patternFill patternType="solid">
        <fgColor rgb="FFC6EFCE"/>
      </patternFill>
    </fill>
    <fill>
      <patternFill patternType="solid">
        <fgColor rgb="FFF2F2F2"/>
        <bgColor rgb="FFE8F4FD"/>
      </patternFill>
    </fill>
    <fill>
      <patternFill patternType="solid">
        <fgColor theme="2" tint="-0.09997863704336681"/>
        <bgColor indexed="64"/>
      </patternFill>
    </fill>
    <fill>
      <patternFill patternType="solid">
        <fgColor theme="3"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rgb="00DDEBF7"/>
        <bgColor rgb="00DDEBF7"/>
      </patternFill>
    </fill>
    <fill>
      <patternFill patternType="solid">
        <fgColor rgb="00F8CBAD"/>
        <bgColor rgb="00F8CBAD"/>
      </patternFill>
    </fill>
    <fill>
      <patternFill patternType="solid">
        <fgColor rgb="00FFE699"/>
        <bgColor rgb="00FFE699"/>
      </patternFill>
    </fill>
  </fills>
  <borders count="9">
    <border>
      <left/>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style="thin">
        <color rgb="FFCCCCCC"/>
      </right>
      <top style="thin">
        <color rgb="FFCCCCCC"/>
      </top>
      <bottom style="thin">
        <color rgb="FFCCCCCC"/>
      </bottom>
      <diagonal/>
    </border>
    <border>
      <left/>
      <right/>
      <top style="thin">
        <color rgb="FFCCCCCC"/>
      </top>
      <bottom style="thin">
        <color rgb="FFCCCCCC"/>
      </bottom>
      <diagonal/>
    </border>
  </borders>
  <cellStyleXfs count="2">
    <xf numFmtId="0" fontId="0" fillId="0" borderId="0"/>
    <xf numFmtId="0" fontId="35" fillId="33" borderId="0"/>
  </cellStyleXfs>
  <cellXfs count="233">
    <xf numFmtId="0" fontId="0" fillId="0" borderId="0" pivotButton="0" quotePrefix="0" xfId="0"/>
    <xf numFmtId="0" fontId="16" fillId="12" borderId="4"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vertical="center" wrapText="1"/>
    </xf>
    <xf numFmtId="0" fontId="1" fillId="2" borderId="2" applyAlignment="1" pivotButton="0" quotePrefix="0" xfId="0">
      <alignment horizontal="center" vertical="center" wrapText="1"/>
    </xf>
    <xf numFmtId="0" fontId="2" fillId="0" borderId="2" applyAlignment="1" pivotButton="0" quotePrefix="0" xfId="0">
      <alignment horizontal="center" vertical="center" wrapText="1"/>
    </xf>
    <xf numFmtId="0" fontId="3" fillId="3" borderId="3" applyAlignment="1" pivotButton="0" quotePrefix="0" xfId="0">
      <alignment horizontal="center" vertical="center" wrapText="1"/>
    </xf>
    <xf numFmtId="9" fontId="2" fillId="0" borderId="2" applyAlignment="1" pivotButton="0" quotePrefix="0" xfId="0">
      <alignment horizontal="center" vertical="center" wrapText="1"/>
    </xf>
    <xf numFmtId="0" fontId="4" fillId="4" borderId="3" applyAlignment="1" pivotButton="0" quotePrefix="0" xfId="0">
      <alignment horizontal="center" vertical="center" wrapText="1"/>
    </xf>
    <xf numFmtId="0" fontId="5" fillId="5" borderId="3" applyAlignment="1" pivotButton="0" quotePrefix="0" xfId="0">
      <alignment horizontal="center" vertical="center" wrapText="1"/>
    </xf>
    <xf numFmtId="9" fontId="1" fillId="2" borderId="2" applyAlignment="1" pivotButton="0" quotePrefix="0" xfId="0">
      <alignment horizontal="center" vertical="center" wrapText="1"/>
    </xf>
    <xf numFmtId="0" fontId="7" fillId="5" borderId="3" applyAlignment="1" pivotButton="0" quotePrefix="0" xfId="0">
      <alignment horizontal="center" vertical="center" wrapText="1"/>
    </xf>
    <xf numFmtId="0" fontId="8" fillId="6" borderId="3" applyAlignment="1" pivotButton="0" quotePrefix="0" xfId="0">
      <alignment horizontal="center" vertical="center" wrapText="1"/>
    </xf>
    <xf numFmtId="0" fontId="6" fillId="0" borderId="3" applyAlignment="1" pivotButton="0" quotePrefix="0" xfId="0">
      <alignment vertical="center" wrapText="1"/>
    </xf>
    <xf numFmtId="9" fontId="2" fillId="6" borderId="2" applyAlignment="1" pivotButton="0" quotePrefix="0" xfId="0">
      <alignment horizontal="center" vertical="center" wrapText="1"/>
    </xf>
    <xf numFmtId="9" fontId="2" fillId="7" borderId="2" applyAlignment="1" pivotButton="0" quotePrefix="0" xfId="0">
      <alignment horizontal="center" vertical="center" wrapText="1"/>
    </xf>
    <xf numFmtId="0" fontId="5" fillId="8" borderId="3" applyAlignment="1" pivotButton="0" quotePrefix="0" xfId="0">
      <alignment horizontal="center" vertical="center" wrapText="1"/>
    </xf>
    <xf numFmtId="0" fontId="7" fillId="8" borderId="3" applyAlignment="1" pivotButton="0" quotePrefix="0" xfId="0">
      <alignment horizontal="center" vertical="center" wrapText="1"/>
    </xf>
    <xf numFmtId="9" fontId="2" fillId="9" borderId="2" applyAlignment="1" pivotButton="0" quotePrefix="0" xfId="0">
      <alignment horizontal="center" vertical="center" wrapText="1"/>
    </xf>
    <xf numFmtId="9" fontId="2" fillId="10" borderId="2" applyAlignment="1" pivotButton="0" quotePrefix="0" xfId="0">
      <alignment horizontal="center" vertical="center" wrapText="1"/>
    </xf>
    <xf numFmtId="9" fontId="2" fillId="11" borderId="2" applyAlignment="1" pivotButton="0" quotePrefix="0" xfId="0">
      <alignment horizontal="center" vertical="center" wrapText="1"/>
    </xf>
    <xf numFmtId="0" fontId="11" fillId="10" borderId="3" applyAlignment="1" pivotButton="0" quotePrefix="0" xfId="0">
      <alignment horizontal="center" vertical="center" wrapText="1"/>
    </xf>
    <xf numFmtId="0" fontId="12" fillId="0" borderId="1" applyAlignment="1" pivotButton="0" quotePrefix="0" xfId="0">
      <alignment horizontal="center" vertical="center" wrapText="1"/>
    </xf>
    <xf numFmtId="0" fontId="12" fillId="0" borderId="2" applyAlignment="1" pivotButton="0" quotePrefix="0" xfId="0">
      <alignment vertical="center" wrapText="1"/>
    </xf>
    <xf numFmtId="0" fontId="12" fillId="0" borderId="2" applyAlignment="1" pivotButton="0" quotePrefix="0" xfId="0">
      <alignment horizontal="center" vertical="center" wrapText="1"/>
    </xf>
    <xf numFmtId="0" fontId="13" fillId="0" borderId="0" applyAlignment="1" pivotButton="0" quotePrefix="0" xfId="0">
      <alignment vertical="center" wrapText="1"/>
    </xf>
    <xf numFmtId="0" fontId="16" fillId="12" borderId="4" applyAlignment="1" pivotButton="0" quotePrefix="0" xfId="0">
      <alignment horizontal="center" vertical="center" wrapText="1"/>
    </xf>
    <xf numFmtId="0" fontId="2" fillId="14" borderId="4" applyAlignment="1" pivotButton="0" quotePrefix="0" xfId="0">
      <alignment horizontal="center" vertical="center" wrapText="1"/>
    </xf>
    <xf numFmtId="0" fontId="4" fillId="0" borderId="4" applyAlignment="1" pivotButton="0" quotePrefix="0" xfId="0">
      <alignment horizontal="center" vertical="center" wrapText="1"/>
    </xf>
    <xf numFmtId="0" fontId="4" fillId="14" borderId="4" applyAlignment="1" pivotButton="0" quotePrefix="0" xfId="0">
      <alignment horizontal="left" vertical="center" wrapText="1"/>
    </xf>
    <xf numFmtId="0" fontId="2" fillId="14" borderId="4" applyAlignment="1" pivotButton="0" quotePrefix="0" xfId="0">
      <alignment horizontal="left" vertical="center" wrapText="1"/>
    </xf>
    <xf numFmtId="0" fontId="4" fillId="15" borderId="4" applyAlignment="1" pivotButton="0" quotePrefix="0" xfId="0">
      <alignment horizontal="left" vertical="center" wrapText="1"/>
    </xf>
    <xf numFmtId="0" fontId="2" fillId="15" borderId="4" applyAlignment="1" pivotButton="0" quotePrefix="0" xfId="0">
      <alignment horizontal="left" vertical="center" wrapText="1"/>
    </xf>
    <xf numFmtId="0" fontId="2" fillId="11" borderId="4" applyAlignment="1" pivotButton="0" quotePrefix="0" xfId="0">
      <alignment horizontal="left" vertical="center" wrapText="1"/>
    </xf>
    <xf numFmtId="15" fontId="2" fillId="14" borderId="4" applyAlignment="1" pivotButton="0" quotePrefix="0" xfId="0">
      <alignment horizontal="center" vertical="center" wrapText="1"/>
    </xf>
    <xf numFmtId="0" fontId="17" fillId="14" borderId="4" applyAlignment="1" pivotButton="0" quotePrefix="0" xfId="0">
      <alignment vertical="center" wrapText="1"/>
    </xf>
    <xf numFmtId="0" fontId="6" fillId="14" borderId="4" applyAlignment="1" pivotButton="0" quotePrefix="0" xfId="0">
      <alignment vertical="center" wrapText="1"/>
    </xf>
    <xf numFmtId="0" fontId="17" fillId="15" borderId="4" applyAlignment="1" pivotButton="0" quotePrefix="0" xfId="0">
      <alignment vertical="center" wrapText="1"/>
    </xf>
    <xf numFmtId="0" fontId="6" fillId="15" borderId="4" applyAlignment="1" pivotButton="0" quotePrefix="0" xfId="0">
      <alignment vertical="center" wrapText="1"/>
    </xf>
    <xf numFmtId="15" fontId="6" fillId="14" borderId="4" applyAlignment="1" pivotButton="0" quotePrefix="0" xfId="0">
      <alignment vertical="center" wrapText="1"/>
    </xf>
    <xf numFmtId="15" fontId="18" fillId="14" borderId="4" applyAlignment="1" pivotButton="0" quotePrefix="0" xfId="0">
      <alignment vertical="center" wrapText="1"/>
    </xf>
    <xf numFmtId="0" fontId="19" fillId="0" borderId="4" applyAlignment="1" pivotButton="0" quotePrefix="0" xfId="0">
      <alignment horizontal="center" vertical="center" wrapText="1"/>
    </xf>
    <xf numFmtId="0" fontId="20" fillId="14" borderId="4" applyAlignment="1" pivotButton="0" quotePrefix="0" xfId="0">
      <alignment vertical="center" wrapText="1"/>
    </xf>
    <xf numFmtId="0" fontId="18" fillId="15" borderId="4" applyAlignment="1" pivotButton="0" quotePrefix="0" xfId="0">
      <alignment vertical="center" wrapText="1"/>
    </xf>
    <xf numFmtId="0" fontId="2" fillId="0" borderId="4" applyAlignment="1" pivotButton="0" quotePrefix="0" xfId="0">
      <alignment vertical="center" wrapText="1"/>
    </xf>
    <xf numFmtId="0" fontId="21" fillId="14" borderId="4" applyAlignment="1" pivotButton="0" quotePrefix="0" xfId="0">
      <alignment horizontal="left" vertical="center"/>
    </xf>
    <xf numFmtId="0" fontId="22" fillId="14" borderId="4" applyAlignment="1" pivotButton="0" quotePrefix="0" xfId="0">
      <alignment horizontal="center" vertical="center"/>
    </xf>
    <xf numFmtId="9" fontId="23" fillId="14" borderId="4" applyAlignment="1" pivotButton="0" quotePrefix="0" xfId="0">
      <alignment horizontal="center" vertical="center"/>
    </xf>
    <xf numFmtId="0" fontId="21" fillId="15" borderId="4" applyAlignment="1" pivotButton="0" quotePrefix="0" xfId="0">
      <alignment horizontal="left" vertical="center"/>
    </xf>
    <xf numFmtId="0" fontId="22" fillId="15" borderId="4" applyAlignment="1" pivotButton="0" quotePrefix="0" xfId="0">
      <alignment horizontal="center" vertical="center"/>
    </xf>
    <xf numFmtId="1" fontId="23" fillId="15" borderId="4" applyAlignment="1" pivotButton="0" quotePrefix="0" xfId="0">
      <alignment horizontal="center" vertical="center"/>
    </xf>
    <xf numFmtId="0" fontId="1" fillId="12" borderId="4" applyAlignment="1" pivotButton="0" quotePrefix="0" xfId="0">
      <alignment horizontal="center" vertical="center"/>
    </xf>
    <xf numFmtId="0" fontId="4" fillId="14" borderId="4" applyAlignment="1" pivotButton="0" quotePrefix="0" xfId="0">
      <alignment horizontal="left" vertical="center"/>
    </xf>
    <xf numFmtId="0" fontId="2" fillId="14" borderId="4" applyAlignment="1" pivotButton="0" quotePrefix="0" xfId="0">
      <alignment horizontal="center" vertical="center"/>
    </xf>
    <xf numFmtId="0" fontId="4" fillId="15" borderId="4" applyAlignment="1" pivotButton="0" quotePrefix="0" xfId="0">
      <alignment horizontal="left" vertical="center"/>
    </xf>
    <xf numFmtId="0" fontId="2" fillId="15" borderId="4" applyAlignment="1" pivotButton="0" quotePrefix="0" xfId="0">
      <alignment horizontal="center" vertical="center"/>
    </xf>
    <xf numFmtId="0" fontId="4" fillId="17" borderId="4" applyAlignment="1" pivotButton="0" quotePrefix="0" xfId="0">
      <alignment horizontal="left" vertical="center"/>
    </xf>
    <xf numFmtId="0" fontId="2" fillId="17" borderId="4" applyAlignment="1" pivotButton="0" quotePrefix="0" xfId="0">
      <alignment horizontal="center" vertical="center"/>
    </xf>
    <xf numFmtId="0" fontId="4" fillId="18" borderId="4" applyAlignment="1" pivotButton="0" quotePrefix="0" xfId="0">
      <alignment horizontal="left" vertical="center"/>
    </xf>
    <xf numFmtId="0" fontId="2" fillId="18" borderId="4" applyAlignment="1" pivotButton="0" quotePrefix="0" xfId="0">
      <alignment horizontal="center" vertical="center"/>
    </xf>
    <xf numFmtId="0" fontId="4" fillId="19" borderId="4" applyAlignment="1" pivotButton="0" quotePrefix="0" xfId="0">
      <alignment horizontal="left" vertical="center"/>
    </xf>
    <xf numFmtId="0" fontId="2" fillId="19" borderId="4" applyAlignment="1" pivotButton="0" quotePrefix="0" xfId="0">
      <alignment horizontal="center" vertical="center"/>
    </xf>
    <xf numFmtId="0" fontId="4" fillId="20" borderId="4" applyAlignment="1" pivotButton="0" quotePrefix="0" xfId="0">
      <alignment horizontal="left" vertical="center"/>
    </xf>
    <xf numFmtId="0" fontId="2" fillId="20" borderId="4" applyAlignment="1" pivotButton="0" quotePrefix="0" xfId="0">
      <alignment horizontal="center" vertical="center"/>
    </xf>
    <xf numFmtId="0" fontId="4" fillId="10" borderId="4" applyAlignment="1" pivotButton="0" quotePrefix="0" xfId="0">
      <alignment horizontal="left" vertical="center"/>
    </xf>
    <xf numFmtId="0" fontId="2" fillId="10" borderId="4" applyAlignment="1" pivotButton="0" quotePrefix="0" xfId="0">
      <alignment horizontal="center" vertical="center"/>
    </xf>
    <xf numFmtId="0" fontId="4" fillId="11" borderId="4" applyAlignment="1" pivotButton="0" quotePrefix="0" xfId="0">
      <alignment horizontal="left" vertical="center"/>
    </xf>
    <xf numFmtId="0" fontId="2" fillId="11" borderId="4" applyAlignment="1" pivotButton="0" quotePrefix="0" xfId="0">
      <alignment horizontal="center" vertical="center"/>
    </xf>
    <xf numFmtId="0" fontId="4" fillId="21" borderId="4" applyAlignment="1" pivotButton="0" quotePrefix="0" xfId="0">
      <alignment horizontal="left" vertical="center"/>
    </xf>
    <xf numFmtId="0" fontId="2" fillId="21" borderId="4" applyAlignment="1" pivotButton="0" quotePrefix="0" xfId="0">
      <alignment horizontal="center" vertical="center"/>
    </xf>
    <xf numFmtId="0" fontId="4" fillId="22" borderId="4" applyAlignment="1" pivotButton="0" quotePrefix="0" xfId="0">
      <alignment horizontal="left" vertical="center"/>
    </xf>
    <xf numFmtId="0" fontId="2" fillId="22" borderId="4" applyAlignment="1" pivotButton="0" quotePrefix="0" xfId="0">
      <alignment horizontal="center" vertical="center"/>
    </xf>
    <xf numFmtId="0" fontId="4" fillId="23" borderId="4" applyAlignment="1" pivotButton="0" quotePrefix="0" xfId="0">
      <alignment horizontal="left" vertical="center"/>
    </xf>
    <xf numFmtId="0" fontId="2" fillId="23" borderId="4" applyAlignment="1" pivotButton="0" quotePrefix="0" xfId="0">
      <alignment horizontal="center" vertical="center"/>
    </xf>
    <xf numFmtId="0" fontId="4" fillId="24" borderId="4" applyAlignment="1" pivotButton="0" quotePrefix="0" xfId="0">
      <alignment horizontal="left" vertical="center"/>
    </xf>
    <xf numFmtId="0" fontId="2" fillId="24" borderId="4" applyAlignment="1" pivotButton="0" quotePrefix="0" xfId="0">
      <alignment horizontal="center" vertical="center"/>
    </xf>
    <xf numFmtId="0" fontId="0" fillId="0" borderId="0" applyAlignment="1" pivotButton="0" quotePrefix="0" xfId="0">
      <alignment horizontal="left"/>
    </xf>
    <xf numFmtId="0" fontId="24" fillId="0" borderId="0" applyAlignment="1" pivotButton="0" quotePrefix="0" xfId="0">
      <alignment horizontal="left" vertical="center" wrapText="1"/>
    </xf>
    <xf numFmtId="0" fontId="24" fillId="0" borderId="0" applyAlignment="1" pivotButton="0" quotePrefix="0" xfId="0">
      <alignment horizontal="left"/>
    </xf>
    <xf numFmtId="0" fontId="25" fillId="0" borderId="0" applyAlignment="1" pivotButton="0" quotePrefix="0" xfId="0">
      <alignment horizontal="left" vertical="center"/>
    </xf>
    <xf numFmtId="0" fontId="0" fillId="0" borderId="0" applyAlignment="1" pivotButton="0" quotePrefix="0" xfId="0">
      <alignment horizontal="left" vertical="center"/>
    </xf>
    <xf numFmtId="0" fontId="4" fillId="14" borderId="4" applyAlignment="1" pivotButton="0" quotePrefix="0" xfId="0">
      <alignment horizontal="center" vertical="center"/>
    </xf>
    <xf numFmtId="0" fontId="26" fillId="14" borderId="4" applyAlignment="1" pivotButton="0" quotePrefix="0" xfId="0">
      <alignment horizontal="left" vertical="center" wrapText="1"/>
    </xf>
    <xf numFmtId="0" fontId="27" fillId="13" borderId="4" applyAlignment="1" pivotButton="0" quotePrefix="0" xfId="0">
      <alignment horizontal="center" vertical="center"/>
    </xf>
    <xf numFmtId="0" fontId="28" fillId="18" borderId="4" applyAlignment="1" pivotButton="0" quotePrefix="0" xfId="0">
      <alignment horizontal="center" vertical="center"/>
    </xf>
    <xf numFmtId="0" fontId="29" fillId="19" borderId="4" applyAlignment="1" pivotButton="0" quotePrefix="0" xfId="0">
      <alignment horizontal="center" vertical="center"/>
    </xf>
    <xf numFmtId="0" fontId="29" fillId="25" borderId="4" applyAlignment="1" pivotButton="0" quotePrefix="0" xfId="0">
      <alignment horizontal="center" vertical="center"/>
    </xf>
    <xf numFmtId="0" fontId="5" fillId="14" borderId="4" applyAlignment="1" pivotButton="0" quotePrefix="0" xfId="0">
      <alignment horizontal="center" vertical="center"/>
    </xf>
    <xf numFmtId="0" fontId="29" fillId="17" borderId="4" applyAlignment="1" pivotButton="0" quotePrefix="0" xfId="0">
      <alignment horizontal="center" vertical="center"/>
    </xf>
    <xf numFmtId="0" fontId="4" fillId="17" borderId="4" applyAlignment="1" pivotButton="0" quotePrefix="0" xfId="0">
      <alignment horizontal="left" vertical="center" wrapText="1"/>
    </xf>
    <xf numFmtId="0" fontId="2" fillId="17" borderId="4" applyAlignment="1" pivotButton="0" quotePrefix="0" xfId="0">
      <alignment horizontal="left" vertical="center" wrapText="1"/>
    </xf>
    <xf numFmtId="15" fontId="2" fillId="17" borderId="4" applyAlignment="1" pivotButton="0" quotePrefix="0" xfId="0">
      <alignment horizontal="center" vertical="center"/>
    </xf>
    <xf numFmtId="0" fontId="26" fillId="17" borderId="4" applyAlignment="1" pivotButton="0" quotePrefix="0" xfId="0">
      <alignment horizontal="left" vertical="center" wrapText="1"/>
    </xf>
    <xf numFmtId="0" fontId="26" fillId="15" borderId="4" applyAlignment="1" pivotButton="0" quotePrefix="0" xfId="0">
      <alignment horizontal="left" vertical="center" wrapText="1"/>
    </xf>
    <xf numFmtId="0" fontId="27" fillId="26" borderId="4" applyAlignment="1" pivotButton="0" quotePrefix="0" xfId="0">
      <alignment horizontal="center" vertical="center"/>
    </xf>
    <xf numFmtId="9" fontId="4" fillId="17" borderId="4" applyAlignment="1" pivotButton="0" quotePrefix="0" xfId="0">
      <alignment horizontal="center" vertical="center"/>
    </xf>
    <xf numFmtId="0" fontId="26" fillId="11" borderId="4" applyAlignment="1" pivotButton="0" quotePrefix="0" xfId="0">
      <alignment horizontal="left" vertical="center" wrapText="1"/>
    </xf>
    <xf numFmtId="0" fontId="30" fillId="10" borderId="4" applyAlignment="1" pivotButton="0" quotePrefix="0" xfId="0">
      <alignment horizontal="center" vertical="center"/>
    </xf>
    <xf numFmtId="0" fontId="4" fillId="17" borderId="4" applyAlignment="1" pivotButton="0" quotePrefix="0" xfId="0">
      <alignment horizontal="center" vertical="center"/>
    </xf>
    <xf numFmtId="0" fontId="4" fillId="15" borderId="4" applyAlignment="1" pivotButton="0" quotePrefix="0" xfId="0">
      <alignment horizontal="center" vertical="center"/>
    </xf>
    <xf numFmtId="0" fontId="4" fillId="18" borderId="4" applyAlignment="1" pivotButton="0" quotePrefix="0" xfId="0">
      <alignment horizontal="left" vertical="center" wrapText="1"/>
    </xf>
    <xf numFmtId="0" fontId="2" fillId="18" borderId="4" applyAlignment="1" pivotButton="0" quotePrefix="0" xfId="0">
      <alignment horizontal="left" vertical="center" wrapText="1"/>
    </xf>
    <xf numFmtId="0" fontId="26" fillId="18" borderId="4" applyAlignment="1" pivotButton="0" quotePrefix="0" xfId="0">
      <alignment horizontal="left" vertical="center" wrapText="1"/>
    </xf>
    <xf numFmtId="15" fontId="2" fillId="18" borderId="4" applyAlignment="1" pivotButton="0" quotePrefix="0" xfId="0">
      <alignment horizontal="center" vertical="center"/>
    </xf>
    <xf numFmtId="9" fontId="4" fillId="18" borderId="4" applyAlignment="1" pivotButton="0" quotePrefix="0" xfId="0">
      <alignment horizontal="center" vertical="center"/>
    </xf>
    <xf numFmtId="0" fontId="4" fillId="18" borderId="4" applyAlignment="1" pivotButton="0" quotePrefix="0" xfId="0">
      <alignment horizontal="center" vertical="center"/>
    </xf>
    <xf numFmtId="0" fontId="4" fillId="19" borderId="4" applyAlignment="1" pivotButton="0" quotePrefix="0" xfId="0">
      <alignment horizontal="left" vertical="center" wrapText="1"/>
    </xf>
    <xf numFmtId="0" fontId="2" fillId="19" borderId="4" applyAlignment="1" pivotButton="0" quotePrefix="0" xfId="0">
      <alignment horizontal="left" vertical="center" wrapText="1"/>
    </xf>
    <xf numFmtId="0" fontId="26" fillId="19" borderId="4" applyAlignment="1" pivotButton="0" quotePrefix="0" xfId="0">
      <alignment horizontal="left" vertical="center" wrapText="1"/>
    </xf>
    <xf numFmtId="9" fontId="4" fillId="19" borderId="4" applyAlignment="1" pivotButton="0" quotePrefix="0" xfId="0">
      <alignment horizontal="center" vertical="center"/>
    </xf>
    <xf numFmtId="15" fontId="2" fillId="19" borderId="4" applyAlignment="1" pivotButton="0" quotePrefix="0" xfId="0">
      <alignment horizontal="center" vertical="center"/>
    </xf>
    <xf numFmtId="0" fontId="4" fillId="20" borderId="4" applyAlignment="1" pivotButton="0" quotePrefix="0" xfId="0">
      <alignment horizontal="left" vertical="center" wrapText="1"/>
    </xf>
    <xf numFmtId="0" fontId="2" fillId="20" borderId="4" applyAlignment="1" pivotButton="0" quotePrefix="0" xfId="0">
      <alignment horizontal="left" vertical="center" wrapText="1"/>
    </xf>
    <xf numFmtId="0" fontId="26" fillId="20" borderId="4" applyAlignment="1" pivotButton="0" quotePrefix="0" xfId="0">
      <alignment horizontal="left" vertical="center" wrapText="1"/>
    </xf>
    <xf numFmtId="15" fontId="2" fillId="20" borderId="4" applyAlignment="1" pivotButton="0" quotePrefix="0" xfId="0">
      <alignment horizontal="center" vertical="center"/>
    </xf>
    <xf numFmtId="9" fontId="4" fillId="20" borderId="4" applyAlignment="1" pivotButton="0" quotePrefix="0" xfId="0">
      <alignment horizontal="center" vertical="center"/>
    </xf>
    <xf numFmtId="0" fontId="4" fillId="27" borderId="4" applyAlignment="1" pivotButton="0" quotePrefix="0" xfId="0">
      <alignment horizontal="left" vertical="center" wrapText="1"/>
    </xf>
    <xf numFmtId="0" fontId="2" fillId="27" borderId="4" applyAlignment="1" pivotButton="0" quotePrefix="0" xfId="0">
      <alignment horizontal="left" vertical="center" wrapText="1"/>
    </xf>
    <xf numFmtId="0" fontId="26" fillId="27" borderId="4" applyAlignment="1" pivotButton="0" quotePrefix="0" xfId="0">
      <alignment horizontal="left" vertical="center" wrapText="1"/>
    </xf>
    <xf numFmtId="0" fontId="4" fillId="20" borderId="4" applyAlignment="1" pivotButton="0" quotePrefix="0" xfId="0">
      <alignment horizontal="center" vertical="center"/>
    </xf>
    <xf numFmtId="0" fontId="4" fillId="10" borderId="4" applyAlignment="1" pivotButton="0" quotePrefix="0" xfId="0">
      <alignment horizontal="left" vertical="center" wrapText="1"/>
    </xf>
    <xf numFmtId="0" fontId="2" fillId="10" borderId="4" applyAlignment="1" pivotButton="0" quotePrefix="0" xfId="0">
      <alignment horizontal="left" vertical="center" wrapText="1"/>
    </xf>
    <xf numFmtId="0" fontId="26" fillId="10" borderId="4" applyAlignment="1" pivotButton="0" quotePrefix="0" xfId="0">
      <alignment horizontal="left" vertical="center" wrapText="1"/>
    </xf>
    <xf numFmtId="0" fontId="4" fillId="10" borderId="4" applyAlignment="1" pivotButton="0" quotePrefix="0" xfId="0">
      <alignment horizontal="center" vertical="center"/>
    </xf>
    <xf numFmtId="0" fontId="4" fillId="11" borderId="4" applyAlignment="1" pivotButton="0" quotePrefix="0" xfId="0">
      <alignment horizontal="left" vertical="center" wrapText="1"/>
    </xf>
    <xf numFmtId="0" fontId="4" fillId="11" borderId="4" applyAlignment="1" pivotButton="0" quotePrefix="0" xfId="0">
      <alignment horizontal="center" vertical="center"/>
    </xf>
    <xf numFmtId="0" fontId="4" fillId="21" borderId="4" applyAlignment="1" pivotButton="0" quotePrefix="0" xfId="0">
      <alignment horizontal="left" vertical="center" wrapText="1"/>
    </xf>
    <xf numFmtId="0" fontId="2" fillId="21" borderId="4" applyAlignment="1" pivotButton="0" quotePrefix="0" xfId="0">
      <alignment horizontal="left" vertical="center" wrapText="1"/>
    </xf>
    <xf numFmtId="0" fontId="26" fillId="21" borderId="4" applyAlignment="1" pivotButton="0" quotePrefix="0" xfId="0">
      <alignment horizontal="left" vertical="center" wrapText="1"/>
    </xf>
    <xf numFmtId="0" fontId="4" fillId="21" borderId="4" applyAlignment="1" pivotButton="0" quotePrefix="0" xfId="0">
      <alignment horizontal="center" vertical="center"/>
    </xf>
    <xf numFmtId="0" fontId="4" fillId="22" borderId="4" applyAlignment="1" pivotButton="0" quotePrefix="0" xfId="0">
      <alignment horizontal="left" vertical="center" wrapText="1"/>
    </xf>
    <xf numFmtId="0" fontId="2" fillId="22" borderId="4" applyAlignment="1" pivotButton="0" quotePrefix="0" xfId="0">
      <alignment horizontal="left" vertical="center" wrapText="1"/>
    </xf>
    <xf numFmtId="0" fontId="26" fillId="22" borderId="4" applyAlignment="1" pivotButton="0" quotePrefix="0" xfId="0">
      <alignment horizontal="left" vertical="center" wrapText="1"/>
    </xf>
    <xf numFmtId="0" fontId="4" fillId="22" borderId="4" applyAlignment="1" pivotButton="0" quotePrefix="0" xfId="0">
      <alignment horizontal="center" vertical="center"/>
    </xf>
    <xf numFmtId="0" fontId="4" fillId="23" borderId="4" applyAlignment="1" pivotButton="0" quotePrefix="0" xfId="0">
      <alignment horizontal="left" vertical="center" wrapText="1"/>
    </xf>
    <xf numFmtId="0" fontId="2" fillId="23" borderId="4" applyAlignment="1" pivotButton="0" quotePrefix="0" xfId="0">
      <alignment horizontal="left" vertical="center" wrapText="1"/>
    </xf>
    <xf numFmtId="0" fontId="26" fillId="23" borderId="4" applyAlignment="1" pivotButton="0" quotePrefix="0" xfId="0">
      <alignment horizontal="left" vertical="center" wrapText="1"/>
    </xf>
    <xf numFmtId="0" fontId="4" fillId="23" borderId="4" applyAlignment="1" pivotButton="0" quotePrefix="0" xfId="0">
      <alignment horizontal="center" vertical="center"/>
    </xf>
    <xf numFmtId="0" fontId="4" fillId="24" borderId="4" applyAlignment="1" pivotButton="0" quotePrefix="0" xfId="0">
      <alignment horizontal="left" vertical="center" wrapText="1"/>
    </xf>
    <xf numFmtId="0" fontId="2" fillId="24" borderId="4" applyAlignment="1" pivotButton="0" quotePrefix="0" xfId="0">
      <alignment horizontal="left" vertical="center" wrapText="1"/>
    </xf>
    <xf numFmtId="0" fontId="26" fillId="24" borderId="4" applyAlignment="1" pivotButton="0" quotePrefix="0" xfId="0">
      <alignment horizontal="left" vertical="center" wrapText="1"/>
    </xf>
    <xf numFmtId="0" fontId="4" fillId="24" borderId="4" applyAlignment="1" pivotButton="0" quotePrefix="0" xfId="0">
      <alignment horizontal="center" vertical="center"/>
    </xf>
    <xf numFmtId="0" fontId="4" fillId="19" borderId="4" applyAlignment="1" pivotButton="0" quotePrefix="0" xfId="0">
      <alignment horizontal="center" vertical="center"/>
    </xf>
    <xf numFmtId="0" fontId="27" fillId="28" borderId="4" applyAlignment="1" pivotButton="0" quotePrefix="0" xfId="0">
      <alignment horizontal="center" vertical="center"/>
    </xf>
    <xf numFmtId="0" fontId="29" fillId="10" borderId="4" applyAlignment="1" pivotButton="0" quotePrefix="0" xfId="0">
      <alignment horizontal="center" vertical="center"/>
    </xf>
    <xf numFmtId="0" fontId="27" fillId="16" borderId="4" applyAlignment="1" pivotButton="0" quotePrefix="0" xfId="0">
      <alignment horizontal="center" vertical="center"/>
    </xf>
    <xf numFmtId="0" fontId="29" fillId="29" borderId="4" applyAlignment="1" pivotButton="0" quotePrefix="0" xfId="0">
      <alignment horizontal="center" vertical="center"/>
    </xf>
    <xf numFmtId="0" fontId="27" fillId="30" borderId="4" applyAlignment="1" pivotButton="0" quotePrefix="0" xfId="0">
      <alignment horizontal="center" vertical="center"/>
    </xf>
    <xf numFmtId="0" fontId="27" fillId="31" borderId="4" applyAlignment="1" pivotButton="0" quotePrefix="0" xfId="0">
      <alignment horizontal="center" vertical="center"/>
    </xf>
    <xf numFmtId="0" fontId="31" fillId="11" borderId="4" applyAlignment="1" pivotButton="0" quotePrefix="0" xfId="0">
      <alignment horizontal="center" vertical="center"/>
    </xf>
    <xf numFmtId="0" fontId="33" fillId="15" borderId="4" applyAlignment="1" pivotButton="0" quotePrefix="0" xfId="0">
      <alignment horizontal="center" vertical="center"/>
    </xf>
    <xf numFmtId="0" fontId="2" fillId="15" borderId="4" applyAlignment="1" pivotButton="0" quotePrefix="0" xfId="0">
      <alignment horizontal="left" vertical="center"/>
    </xf>
    <xf numFmtId="0" fontId="33" fillId="14" borderId="4" applyAlignment="1" pivotButton="0" quotePrefix="0" xfId="0">
      <alignment horizontal="center" vertical="center"/>
    </xf>
    <xf numFmtId="0" fontId="2" fillId="14" borderId="4" applyAlignment="1" pivotButton="0" quotePrefix="0" xfId="0">
      <alignment horizontal="left" vertical="center"/>
    </xf>
    <xf numFmtId="0" fontId="34" fillId="19" borderId="4" applyAlignment="1" pivotButton="0" quotePrefix="0" xfId="0">
      <alignment horizontal="center" vertical="center"/>
    </xf>
    <xf numFmtId="0" fontId="1" fillId="2" borderId="3" applyAlignment="1" pivotButton="0" quotePrefix="0" xfId="0">
      <alignment horizontal="center" vertical="center" wrapText="1"/>
    </xf>
    <xf numFmtId="0" fontId="1" fillId="2" borderId="3" applyAlignment="1" pivotButton="0" quotePrefix="0" xfId="0">
      <alignment vertical="center" wrapText="1"/>
    </xf>
    <xf numFmtId="0" fontId="2" fillId="0" borderId="3" applyAlignment="1" pivotButton="0" quotePrefix="0" xfId="0">
      <alignment horizontal="center" vertical="center" wrapText="1"/>
    </xf>
    <xf numFmtId="0" fontId="2" fillId="0" borderId="3" applyAlignment="1" pivotButton="0" quotePrefix="0" xfId="0">
      <alignment vertical="center" wrapText="1"/>
    </xf>
    <xf numFmtId="15" fontId="2" fillId="0" borderId="3" applyAlignment="1" pivotButton="0" quotePrefix="0" xfId="0">
      <alignment horizontal="center" vertical="center" wrapText="1"/>
    </xf>
    <xf numFmtId="15" fontId="1" fillId="2" borderId="3" applyAlignment="1" pivotButton="0" quotePrefix="0" xfId="0">
      <alignment horizontal="center" vertical="center" wrapText="1"/>
    </xf>
    <xf numFmtId="15"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6" fillId="7" borderId="3" applyAlignment="1" pivotButton="0" quotePrefix="0" xfId="0">
      <alignment vertical="center" wrapText="1"/>
    </xf>
    <xf numFmtId="0" fontId="6" fillId="6" borderId="3" applyAlignment="1" pivotButton="0" quotePrefix="0" xfId="0">
      <alignment vertical="center" wrapText="1"/>
    </xf>
    <xf numFmtId="15" fontId="6" fillId="6" borderId="3" applyAlignment="1" pivotButton="0" quotePrefix="0" xfId="0">
      <alignment horizontal="center" vertical="center" wrapText="1"/>
    </xf>
    <xf numFmtId="15" fontId="2" fillId="6" borderId="3" applyAlignment="1" pivotButton="0" quotePrefix="0" xfId="0">
      <alignment horizontal="center" vertical="center" wrapText="1"/>
    </xf>
    <xf numFmtId="0" fontId="2" fillId="6" borderId="3" applyAlignment="1" pivotButton="0" quotePrefix="0" xfId="0">
      <alignment horizontal="center" vertical="center" wrapText="1"/>
    </xf>
    <xf numFmtId="15" fontId="6" fillId="7" borderId="3" applyAlignment="1" pivotButton="0" quotePrefix="0" xfId="0">
      <alignment horizontal="center" vertical="center" wrapText="1"/>
    </xf>
    <xf numFmtId="15" fontId="2" fillId="7" borderId="3" applyAlignment="1" pivotButton="0" quotePrefix="0" xfId="0">
      <alignment horizontal="center" vertical="center" wrapText="1"/>
    </xf>
    <xf numFmtId="0" fontId="2" fillId="7" borderId="3" applyAlignment="1" pivotButton="0" quotePrefix="0" xfId="0">
      <alignment horizontal="center" vertical="center" wrapText="1"/>
    </xf>
    <xf numFmtId="0" fontId="2" fillId="6" borderId="3" applyAlignment="1" pivotButton="0" quotePrefix="0" xfId="0">
      <alignment vertical="center" wrapText="1"/>
    </xf>
    <xf numFmtId="0" fontId="2" fillId="9" borderId="3" applyAlignment="1" pivotButton="0" quotePrefix="0" xfId="0">
      <alignment vertical="center" wrapText="1"/>
    </xf>
    <xf numFmtId="15" fontId="2" fillId="9" borderId="3" applyAlignment="1" pivotButton="0" quotePrefix="0" xfId="0">
      <alignment horizontal="center" vertical="center" wrapText="1"/>
    </xf>
    <xf numFmtId="0" fontId="2" fillId="9" borderId="3" applyAlignment="1" pivotButton="0" quotePrefix="0" xfId="0">
      <alignment horizontal="center" vertical="center" wrapText="1"/>
    </xf>
    <xf numFmtId="15" fontId="9" fillId="7" borderId="3" applyAlignment="1" pivotButton="0" quotePrefix="0" xfId="0">
      <alignment horizontal="center" vertical="center" wrapText="1"/>
    </xf>
    <xf numFmtId="15" fontId="10" fillId="9" borderId="3" applyAlignment="1" pivotButton="0" quotePrefix="0" xfId="0">
      <alignment horizontal="center" vertical="center" wrapText="1"/>
    </xf>
    <xf numFmtId="0" fontId="2" fillId="10" borderId="3" applyAlignment="1" pivotButton="0" quotePrefix="0" xfId="0">
      <alignment vertical="center" wrapText="1"/>
    </xf>
    <xf numFmtId="15" fontId="2" fillId="10" borderId="3" applyAlignment="1" pivotButton="0" quotePrefix="0" xfId="0">
      <alignment horizontal="center" vertical="center" wrapText="1"/>
    </xf>
    <xf numFmtId="0" fontId="2" fillId="10" borderId="3" applyAlignment="1" pivotButton="0" quotePrefix="0" xfId="0">
      <alignment horizontal="center" vertical="center" wrapText="1"/>
    </xf>
    <xf numFmtId="0" fontId="2" fillId="11" borderId="3" applyAlignment="1" pivotButton="0" quotePrefix="0" xfId="0">
      <alignment vertical="center" wrapText="1"/>
    </xf>
    <xf numFmtId="15" fontId="2" fillId="11" borderId="3" applyAlignment="1" pivotButton="0" quotePrefix="0" xfId="0">
      <alignment horizontal="center" vertical="center" wrapText="1"/>
    </xf>
    <xf numFmtId="0" fontId="2" fillId="11" borderId="3" applyAlignment="1" pivotButton="0" quotePrefix="0" xfId="0">
      <alignment horizontal="center" vertical="center" wrapText="1"/>
    </xf>
    <xf numFmtId="0" fontId="0" fillId="0" borderId="3" applyAlignment="1" pivotButton="0" quotePrefix="0" xfId="0">
      <alignment vertical="center" wrapText="1"/>
    </xf>
    <xf numFmtId="0" fontId="6" fillId="32" borderId="3" applyAlignment="1" pivotButton="0" quotePrefix="0" xfId="0">
      <alignment vertical="center" wrapText="1"/>
    </xf>
    <xf numFmtId="15" fontId="6" fillId="32" borderId="3" applyAlignment="1" pivotButton="0" quotePrefix="0" xfId="0">
      <alignment horizontal="center" vertical="center" wrapText="1"/>
    </xf>
    <xf numFmtId="15" fontId="2" fillId="32" borderId="3" applyAlignment="1" pivotButton="0" quotePrefix="0" xfId="0">
      <alignment horizontal="center" vertical="center" wrapText="1"/>
    </xf>
    <xf numFmtId="0" fontId="2" fillId="32" borderId="3" applyAlignment="1" pivotButton="0" quotePrefix="0" xfId="0">
      <alignment horizontal="center" vertical="center" wrapText="1"/>
    </xf>
    <xf numFmtId="0" fontId="0" fillId="32" borderId="3" applyAlignment="1" pivotButton="0" quotePrefix="0" xfId="0">
      <alignment vertical="center" wrapText="1"/>
    </xf>
    <xf numFmtId="15" fontId="18" fillId="34" borderId="4" applyAlignment="1" pivotButton="0" quotePrefix="0" xfId="0">
      <alignment vertical="center" wrapText="1"/>
    </xf>
    <xf numFmtId="0" fontId="20" fillId="34" borderId="4" applyAlignment="1" pivotButton="0" quotePrefix="0" xfId="0">
      <alignment vertical="center" wrapText="1"/>
    </xf>
    <xf numFmtId="0" fontId="18" fillId="15" borderId="4" applyAlignment="1" pivotButton="0" quotePrefix="1" xfId="0">
      <alignment vertical="center" wrapText="1"/>
    </xf>
    <xf numFmtId="0" fontId="18" fillId="34" borderId="4" applyAlignment="1" pivotButton="0" quotePrefix="0" xfId="0">
      <alignment vertical="center" wrapText="1"/>
    </xf>
    <xf numFmtId="0" fontId="18" fillId="15" borderId="4" applyAlignment="1" pivotButton="0" quotePrefix="0" xfId="0">
      <alignment horizontal="right" vertical="center" wrapText="1"/>
    </xf>
    <xf numFmtId="0" fontId="37" fillId="6" borderId="3" applyAlignment="1" pivotButton="0" quotePrefix="0" xfId="0">
      <alignment horizontal="center" vertical="center" wrapText="1"/>
    </xf>
    <xf numFmtId="15" fontId="18" fillId="0" borderId="3" applyAlignment="1" pivotButton="0" quotePrefix="0" xfId="0">
      <alignment horizontal="center" vertical="center" wrapText="1"/>
    </xf>
    <xf numFmtId="0" fontId="6" fillId="15" borderId="4" applyAlignment="1" pivotButton="0" quotePrefix="1" xfId="0">
      <alignment vertical="center" wrapText="1"/>
    </xf>
    <xf numFmtId="15" fontId="2" fillId="35" borderId="3" applyAlignment="1" pivotButton="0" quotePrefix="0" xfId="0">
      <alignment horizontal="center" vertical="center" wrapText="1"/>
    </xf>
    <xf numFmtId="0" fontId="38" fillId="33" borderId="3" applyAlignment="1" pivotButton="0" quotePrefix="0" xfId="1">
      <alignment horizontal="center" vertical="center" wrapText="1"/>
    </xf>
    <xf numFmtId="15" fontId="36" fillId="0" borderId="3" applyAlignment="1" pivotButton="0" quotePrefix="0" xfId="0">
      <alignment horizontal="center" vertical="center" wrapText="1"/>
    </xf>
    <xf numFmtId="0" fontId="2" fillId="36" borderId="3" applyAlignment="1" pivotButton="0" quotePrefix="0" xfId="0">
      <alignment horizontal="center" vertical="center" wrapText="1"/>
    </xf>
    <xf numFmtId="0" fontId="6" fillId="36" borderId="3" applyAlignment="1" pivotButton="0" quotePrefix="0" xfId="0">
      <alignment vertical="center" wrapText="1"/>
    </xf>
    <xf numFmtId="15" fontId="6" fillId="36" borderId="3" applyAlignment="1" pivotButton="0" quotePrefix="0" xfId="0">
      <alignment horizontal="center" vertical="center" wrapText="1"/>
    </xf>
    <xf numFmtId="15" fontId="2" fillId="36" borderId="3" applyAlignment="1" pivotButton="0" quotePrefix="0" xfId="0">
      <alignment horizontal="center" vertical="center" wrapText="1"/>
    </xf>
    <xf numFmtId="0" fontId="2" fillId="36" borderId="3" applyAlignment="1" pivotButton="0" quotePrefix="0" xfId="0">
      <alignment vertical="center" wrapText="1"/>
    </xf>
    <xf numFmtId="0" fontId="2" fillId="37" borderId="3" applyAlignment="1" pivotButton="0" quotePrefix="0" xfId="0">
      <alignment horizontal="center" vertical="center" wrapText="1"/>
    </xf>
    <xf numFmtId="0" fontId="6" fillId="37" borderId="3" applyAlignment="1" pivotButton="0" quotePrefix="0" xfId="0">
      <alignment vertical="center" wrapText="1"/>
    </xf>
    <xf numFmtId="0" fontId="6" fillId="37" borderId="3" applyAlignment="1" pivotButton="0" quotePrefix="0" xfId="0">
      <alignment horizontal="left" vertical="center" wrapText="1"/>
    </xf>
    <xf numFmtId="15" fontId="6" fillId="37" borderId="3" applyAlignment="1" pivotButton="0" quotePrefix="0" xfId="0">
      <alignment horizontal="center" vertical="center" wrapText="1"/>
    </xf>
    <xf numFmtId="15" fontId="2" fillId="37" borderId="3" applyAlignment="1" pivotButton="0" quotePrefix="0" xfId="0">
      <alignment horizontal="center" vertical="center" wrapText="1"/>
    </xf>
    <xf numFmtId="0" fontId="18" fillId="38" borderId="3" applyAlignment="1" pivotButton="0" quotePrefix="0" xfId="0">
      <alignment vertical="center" wrapText="1"/>
    </xf>
    <xf numFmtId="0" fontId="6" fillId="38" borderId="3" applyAlignment="1" pivotButton="0" quotePrefix="0" xfId="0">
      <alignment vertical="center" wrapText="1"/>
    </xf>
    <xf numFmtId="15" fontId="40" fillId="34" borderId="4" applyAlignment="1" pivotButton="0" quotePrefix="0" xfId="0">
      <alignment vertical="center" wrapText="1"/>
    </xf>
    <xf numFmtId="0" fontId="41" fillId="0" borderId="4" applyAlignment="1" pivotButton="0" quotePrefix="0" xfId="0">
      <alignment horizontal="center" vertical="center" wrapText="1"/>
    </xf>
    <xf numFmtId="0" fontId="42" fillId="34" borderId="4" applyAlignment="1" pivotButton="0" quotePrefix="0" xfId="0">
      <alignment vertical="center" wrapText="1"/>
    </xf>
    <xf numFmtId="0" fontId="40" fillId="15" borderId="4" applyAlignment="1" pivotButton="0" quotePrefix="0" xfId="0">
      <alignment vertical="center" wrapText="1"/>
    </xf>
    <xf numFmtId="0" fontId="43" fillId="33" borderId="3" applyAlignment="1" pivotButton="0" quotePrefix="0" xfId="1">
      <alignment horizontal="center" vertical="center" wrapText="1"/>
    </xf>
    <xf numFmtId="15" fontId="6" fillId="15" borderId="4" applyAlignment="1" pivotButton="0" quotePrefix="0" xfId="0">
      <alignment vertical="center" wrapText="1"/>
    </xf>
    <xf numFmtId="0" fontId="6" fillId="14" borderId="4" applyAlignment="1" pivotButton="0" quotePrefix="1" xfId="0">
      <alignment vertical="center" wrapText="1"/>
    </xf>
    <xf numFmtId="0" fontId="14" fillId="12" borderId="0" applyAlignment="1" pivotButton="0" quotePrefix="0" xfId="0">
      <alignment horizontal="center" vertical="center" wrapText="1"/>
    </xf>
    <xf numFmtId="0" fontId="15" fillId="13" borderId="0" applyAlignment="1" pivotButton="0" quotePrefix="0" xfId="0">
      <alignment horizontal="center" vertical="center" wrapText="1"/>
    </xf>
    <xf numFmtId="0" fontId="14" fillId="12" borderId="0" applyAlignment="1" pivotButton="0" quotePrefix="0" xfId="0">
      <alignment horizontal="center" vertical="center"/>
    </xf>
    <xf numFmtId="0" fontId="16" fillId="13" borderId="4" applyAlignment="1" pivotButton="0" quotePrefix="0" xfId="0">
      <alignment horizontal="center" vertical="center"/>
    </xf>
    <xf numFmtId="0" fontId="16" fillId="16" borderId="4" applyAlignment="1" pivotButton="0" quotePrefix="0" xfId="0">
      <alignment horizontal="center" vertical="center"/>
    </xf>
    <xf numFmtId="0" fontId="16" fillId="12" borderId="4" applyAlignment="1" pivotButton="0" quotePrefix="0" xfId="0">
      <alignment horizontal="center" vertical="center"/>
    </xf>
    <xf numFmtId="0" fontId="15" fillId="13" borderId="0" applyAlignment="1" pivotButton="0" quotePrefix="0" xfId="0">
      <alignment horizontal="center" vertical="center"/>
    </xf>
    <xf numFmtId="0" fontId="32" fillId="12" borderId="0" applyAlignment="1" pivotButton="0" quotePrefix="0" xfId="0">
      <alignment horizontal="center" vertical="center"/>
    </xf>
    <xf numFmtId="0" fontId="2" fillId="39" borderId="3" applyAlignment="1" pivotButton="0" quotePrefix="0" xfId="0">
      <alignment horizontal="center" vertical="center" wrapText="1"/>
    </xf>
    <xf numFmtId="0" fontId="2" fillId="40" borderId="3" applyAlignment="1" pivotButton="0" quotePrefix="0" xfId="0">
      <alignment horizontal="center" vertical="center" wrapText="1"/>
    </xf>
    <xf numFmtId="0" fontId="2" fillId="41" borderId="3" applyAlignment="1" pivotButton="0" quotePrefix="0" xfId="0">
      <alignment horizontal="center" vertical="center" wrapText="1"/>
    </xf>
    <xf numFmtId="0" fontId="0" fillId="0" borderId="7" pivotButton="0" quotePrefix="0" xfId="0"/>
    <xf numFmtId="0" fontId="0" fillId="0" borderId="8" pivotButton="0" quotePrefix="0" xfId="0"/>
  </cellXfs>
  <cellStyles count="2">
    <cellStyle name="Normal" xfId="0" builtinId="0"/>
    <cellStyle name="Good" xfId="1" builtinId="26"/>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F2F2F2"/>
      <rgbColor rgb="FF800000"/>
      <rgbColor rgb="FF006100"/>
      <rgbColor rgb="FF000080"/>
      <rgbColor rgb="FF7F6000"/>
      <rgbColor rgb="FF800080"/>
      <rgbColor rgb="FF005F5F"/>
      <rgbColor rgb="FFCCCCCC"/>
      <rgbColor rgb="FF808080"/>
      <rgbColor rgb="FFD9EAD3"/>
      <rgbColor rgb="FF9C6500"/>
      <rgbColor rgb="FFFFF2CC"/>
      <rgbColor rgb="FFD0EEEE"/>
      <rgbColor rgb="FF660066"/>
      <rgbColor rgb="FFFFE0F0"/>
      <rgbColor rgb="FF1F4E79"/>
      <rgbColor rgb="FFEAD1F5"/>
      <rgbColor rgb="FF000080"/>
      <rgbColor rgb="FFFF00FF"/>
      <rgbColor rgb="FFE2F0D9"/>
      <rgbColor rgb="FF00FFFF"/>
      <rgbColor rgb="FF800080"/>
      <rgbColor rgb="FF800000"/>
      <rgbColor rgb="FF375623"/>
      <rgbColor rgb="FF0000FF"/>
      <rgbColor rgb="FF00CCFF"/>
      <rgbColor rgb="FFE0F0FF"/>
      <rgbColor rgb="FFC6EFCE"/>
      <rgbColor rgb="FFF0FFE0"/>
      <rgbColor rgb="FFD6E4F0"/>
      <rgbColor rgb="FFFFE0E0"/>
      <rgbColor rgb="FFD9D9D9"/>
      <rgbColor rgb="FFFCE4D6"/>
      <rgbColor rgb="FF3366FF"/>
      <rgbColor rgb="FFEAF2F8"/>
      <rgbColor rgb="FFE7E6E6"/>
      <rgbColor rgb="FFE2EFDA"/>
      <rgbColor rgb="FFFFF0E0"/>
      <rgbColor rgb="FFFF6600"/>
      <rgbColor rgb="FF595959"/>
      <rgbColor rgb="FFA6A6A6"/>
      <rgbColor rgb="FF1F4E78"/>
      <rgbColor rgb="FF339966"/>
      <rgbColor rgb="FF14181F"/>
      <rgbColor rgb="FF274E13"/>
      <rgbColor rgb="FF7D4E00"/>
      <rgbColor rgb="FF993366"/>
      <rgbColor rgb="FF2F5496"/>
      <rgbColor rgb="FF4A235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N368"/>
  <sheetViews>
    <sheetView tabSelected="1" zoomScaleNormal="100" workbookViewId="0">
      <pane xSplit="3" ySplit="1" topLeftCell="D55" activePane="bottomRight" state="frozen"/>
      <selection pane="bottomRight" activeCell="L53" sqref="L53"/>
      <selection pane="bottomLeft" activeCell="A2" sqref="A2"/>
      <selection pane="topRight" activeCell="D1" sqref="D1"/>
    </sheetView>
  </sheetViews>
  <sheetFormatPr baseColWidth="8" defaultColWidth="8.5703125" defaultRowHeight="15" customHeight="1"/>
  <cols>
    <col width="9" bestFit="1" customWidth="1" style="2" min="1" max="1"/>
    <col width="16.28515625" customWidth="1" style="3" min="2" max="2"/>
    <col width="26.140625" customWidth="1" style="3" min="3" max="3"/>
    <col width="57.85546875" customWidth="1" style="4" min="4" max="4"/>
    <col width="11.5703125" bestFit="1" customWidth="1" style="2" min="5" max="6"/>
    <col width="12.42578125" bestFit="1" customWidth="1" style="2" min="7" max="7"/>
    <col width="11.5703125" bestFit="1" customWidth="1" style="2" min="8" max="8"/>
    <col width="14.42578125" customWidth="1" style="2" min="9" max="9"/>
    <col width="14" bestFit="1" customWidth="1" style="2" min="10" max="10"/>
    <col width="14" bestFit="1" customWidth="1" style="2" min="11" max="11"/>
    <col width="16.5703125" customWidth="1" style="4" min="12" max="12"/>
    <col width="14.42578125" customWidth="1" style="4" min="13" max="16384"/>
    <col width="43.28515625" customWidth="1" min="14" max="14"/>
  </cols>
  <sheetData>
    <row r="1" ht="24" customHeight="1">
      <c r="A1" s="156" t="inlineStr">
        <is>
          <t>Task ID</t>
        </is>
      </c>
      <c r="B1" s="157" t="inlineStr">
        <is>
          <t>Phase</t>
        </is>
      </c>
      <c r="C1" s="157" t="inlineStr">
        <is>
          <t>Activity</t>
        </is>
      </c>
      <c r="D1" s="157" t="inlineStr">
        <is>
          <t>Steps</t>
        </is>
      </c>
      <c r="E1" s="156" t="inlineStr">
        <is>
          <t>Planned Start</t>
        </is>
      </c>
      <c r="F1" s="156" t="inlineStr">
        <is>
          <t>Planned End</t>
        </is>
      </c>
      <c r="G1" s="156" t="inlineStr">
        <is>
          <t>Act. Start</t>
        </is>
      </c>
      <c r="H1" s="156" t="inlineStr">
        <is>
          <t>Act. End</t>
        </is>
      </c>
      <c r="I1" s="156" t="inlineStr">
        <is>
          <t>Assigned To</t>
        </is>
      </c>
      <c r="J1" s="156" t="inlineStr">
        <is>
          <t>Tested By</t>
        </is>
      </c>
      <c r="K1" s="156" t="inlineStr">
        <is>
          <t>Testing Status</t>
        </is>
      </c>
      <c r="L1" s="156" t="inlineStr">
        <is>
          <t>Status</t>
        </is>
      </c>
      <c r="M1" s="5" t="inlineStr">
        <is>
          <t>Progress %</t>
        </is>
      </c>
      <c r="N1" s="5" t="inlineStr">
        <is>
          <t>Comments</t>
        </is>
      </c>
    </row>
    <row r="2" hidden="1" ht="14.25" customHeight="1">
      <c r="A2" s="158" t="n">
        <v>1</v>
      </c>
      <c r="B2" s="159" t="inlineStr">
        <is>
          <t>Project Initiation</t>
        </is>
      </c>
      <c r="C2" s="159" t="inlineStr">
        <is>
          <t>Kick Off</t>
        </is>
      </c>
      <c r="D2" s="159" t="inlineStr">
        <is>
          <t>Project Kickoff</t>
        </is>
      </c>
      <c r="E2" s="160" t="n">
        <v>46231</v>
      </c>
      <c r="F2" s="160" t="n">
        <v>46231</v>
      </c>
      <c r="G2" s="160" t="n">
        <v>46231</v>
      </c>
      <c r="H2" s="160" t="n">
        <v>46231</v>
      </c>
      <c r="I2" s="158" t="inlineStr">
        <is>
          <t>Robinson</t>
        </is>
      </c>
      <c r="J2" s="158" t="n"/>
      <c r="K2" s="158" t="n"/>
      <c r="L2" s="7" t="inlineStr">
        <is>
          <t>Completed</t>
        </is>
      </c>
      <c r="M2" s="8" t="n">
        <v>1</v>
      </c>
    </row>
    <row r="3" hidden="1" ht="22.5" customHeight="1">
      <c r="A3" s="158" t="n">
        <v>2</v>
      </c>
      <c r="B3" s="184" t="inlineStr">
        <is>
          <t>Requirement Gathering</t>
        </is>
      </c>
      <c r="C3" s="159" t="inlineStr">
        <is>
          <t>Workshop</t>
        </is>
      </c>
      <c r="D3" s="159" t="inlineStr">
        <is>
          <t>Requirement Gathering Workshop — facilitation, business process walkthroughs &amp; minutes</t>
        </is>
      </c>
      <c r="E3" s="160" t="n">
        <v>46237</v>
      </c>
      <c r="F3" s="160" t="n">
        <v>46241</v>
      </c>
      <c r="G3" s="160" t="n">
        <v>46237</v>
      </c>
      <c r="H3" s="160" t="n">
        <v>46241</v>
      </c>
      <c r="I3" s="158" t="inlineStr">
        <is>
          <t>Robinson</t>
        </is>
      </c>
      <c r="J3" s="158" t="n"/>
      <c r="K3" s="158" t="n"/>
      <c r="L3" s="7" t="inlineStr">
        <is>
          <t>Completed</t>
        </is>
      </c>
      <c r="M3" s="8" t="n">
        <v>1</v>
      </c>
    </row>
    <row r="4" hidden="1" ht="22.5" customHeight="1">
      <c r="A4" s="158" t="n">
        <v>3</v>
      </c>
      <c r="B4" s="184" t="inlineStr">
        <is>
          <t>Requirement Gathering</t>
        </is>
      </c>
      <c r="C4" s="159" t="inlineStr">
        <is>
          <t>Workshop</t>
        </is>
      </c>
      <c r="D4" s="159" t="inlineStr">
        <is>
          <t>Requirement Gathering Workshop — SAP integration requirements (reference data, MIRO/FB60)</t>
        </is>
      </c>
      <c r="E4" s="160" t="n">
        <v>46237</v>
      </c>
      <c r="F4" s="160" t="n">
        <v>46241</v>
      </c>
      <c r="G4" s="160" t="n">
        <v>46237</v>
      </c>
      <c r="H4" s="160" t="n">
        <v>46241</v>
      </c>
      <c r="I4" s="158" t="inlineStr">
        <is>
          <t>Anas</t>
        </is>
      </c>
      <c r="J4" s="158" t="n"/>
      <c r="K4" s="158" t="n"/>
      <c r="L4" s="7" t="inlineStr">
        <is>
          <t>Completed</t>
        </is>
      </c>
      <c r="M4" s="8" t="n">
        <v>1</v>
      </c>
    </row>
    <row r="5" hidden="1" ht="22.5" customHeight="1">
      <c r="A5" s="158" t="n">
        <v>4</v>
      </c>
      <c r="B5" s="184" t="inlineStr">
        <is>
          <t>Requirement Gathering</t>
        </is>
      </c>
      <c r="C5" s="159" t="inlineStr">
        <is>
          <t>Workshop</t>
        </is>
      </c>
      <c r="D5" s="159" t="inlineStr">
        <is>
          <t>Requirement Gathering Workshop — IT, infrastructure &amp; architecture requirements</t>
        </is>
      </c>
      <c r="E5" s="160" t="n">
        <v>46237</v>
      </c>
      <c r="F5" s="160" t="n">
        <v>46241</v>
      </c>
      <c r="G5" s="160" t="n">
        <v>46237</v>
      </c>
      <c r="H5" s="160" t="n">
        <v>46241</v>
      </c>
      <c r="I5" s="158" t="inlineStr">
        <is>
          <t>Pranay</t>
        </is>
      </c>
      <c r="J5" s="158" t="n"/>
      <c r="K5" s="158" t="n"/>
      <c r="L5" s="7" t="inlineStr">
        <is>
          <t>Completed</t>
        </is>
      </c>
      <c r="M5" s="8" t="n">
        <v>1</v>
      </c>
    </row>
    <row r="6" hidden="1" ht="21.75" customHeight="1">
      <c r="A6" s="158" t="n">
        <v>5</v>
      </c>
      <c r="B6" s="184" t="inlineStr">
        <is>
          <t>Requirement Gathering</t>
        </is>
      </c>
      <c r="C6" s="159" t="inlineStr">
        <is>
          <t>BPD Creation</t>
        </is>
      </c>
      <c r="D6" s="159" t="inlineStr">
        <is>
          <t>Business Requirement Document (BRD) Creation</t>
        </is>
      </c>
      <c r="E6" s="160" t="n">
        <v>46245</v>
      </c>
      <c r="F6" s="160" t="n">
        <v>46246</v>
      </c>
      <c r="G6" s="160" t="n">
        <v>46245</v>
      </c>
      <c r="H6" s="160" t="n">
        <v>46253</v>
      </c>
      <c r="I6" s="158" t="inlineStr">
        <is>
          <t>Robinson</t>
        </is>
      </c>
      <c r="J6" s="158" t="n"/>
      <c r="K6" s="158" t="n"/>
      <c r="L6" s="7" t="inlineStr">
        <is>
          <t>Completed</t>
        </is>
      </c>
      <c r="M6" s="8" t="n">
        <v>1</v>
      </c>
    </row>
    <row r="7" hidden="1" ht="21.75" customHeight="1">
      <c r="A7" s="158" t="n">
        <v>6</v>
      </c>
      <c r="B7" s="184" t="inlineStr">
        <is>
          <t>Requirement Gathering</t>
        </is>
      </c>
      <c r="C7" s="159" t="inlineStr">
        <is>
          <t>BPD Sign Off</t>
        </is>
      </c>
      <c r="D7" s="159" t="inlineStr">
        <is>
          <t>Business Requirement Document (BRD) Review &amp; Sign-Off</t>
        </is>
      </c>
      <c r="E7" s="160" t="n">
        <v>46247</v>
      </c>
      <c r="F7" s="160" t="n">
        <v>46247</v>
      </c>
      <c r="G7" s="160" t="n">
        <v>46254</v>
      </c>
      <c r="H7" s="160" t="n">
        <v>46269</v>
      </c>
      <c r="I7" s="158" t="inlineStr">
        <is>
          <t>Robinson</t>
        </is>
      </c>
      <c r="J7" s="158" t="n"/>
      <c r="K7" s="158" t="n"/>
      <c r="L7" s="7" t="inlineStr">
        <is>
          <t>Completed</t>
        </is>
      </c>
      <c r="M7" s="8" t="n">
        <v>1</v>
      </c>
    </row>
    <row r="8" hidden="1" ht="21.75" customHeight="1">
      <c r="A8" s="158" t="n">
        <v>7</v>
      </c>
      <c r="B8" s="159" t="inlineStr">
        <is>
          <t>UI/UX</t>
        </is>
      </c>
      <c r="C8" s="159" t="inlineStr">
        <is>
          <t>UI UX Creation</t>
        </is>
      </c>
      <c r="D8" s="159" t="inlineStr">
        <is>
          <t>UI/UX Design</t>
        </is>
      </c>
      <c r="E8" s="160" t="n">
        <v>46248</v>
      </c>
      <c r="F8" s="160" t="n">
        <v>46253</v>
      </c>
      <c r="G8" s="160" t="n">
        <v>46251</v>
      </c>
      <c r="H8" s="160" t="n">
        <v>46259</v>
      </c>
      <c r="I8" s="158" t="inlineStr">
        <is>
          <t>Suganth</t>
        </is>
      </c>
      <c r="J8" s="158" t="n"/>
      <c r="K8" s="158" t="n"/>
      <c r="L8" s="7" t="inlineStr">
        <is>
          <t>Completed</t>
        </is>
      </c>
      <c r="M8" s="8" t="n">
        <v>1</v>
      </c>
    </row>
    <row r="9" hidden="1" ht="21.75" customHeight="1">
      <c r="A9" s="158" t="n">
        <v>8</v>
      </c>
      <c r="B9" s="184" t="inlineStr">
        <is>
          <t>UI/UX</t>
        </is>
      </c>
      <c r="C9" s="159" t="inlineStr">
        <is>
          <t>UI UX Sign Off</t>
        </is>
      </c>
      <c r="D9" s="159" t="inlineStr">
        <is>
          <t>UI/UX Review &amp; Sign-Off</t>
        </is>
      </c>
      <c r="E9" s="160" t="n">
        <v>46254</v>
      </c>
      <c r="F9" s="160" t="n">
        <v>46255</v>
      </c>
      <c r="G9" s="160" t="n">
        <v>46260</v>
      </c>
      <c r="H9" s="158" t="inlineStr">
        <is>
          <t>—</t>
        </is>
      </c>
      <c r="I9" s="158" t="inlineStr">
        <is>
          <t>Suganth</t>
        </is>
      </c>
      <c r="J9" s="158" t="n"/>
      <c r="K9" s="158" t="n"/>
      <c r="L9" s="7" t="inlineStr">
        <is>
          <t>Completed</t>
        </is>
      </c>
      <c r="M9" s="8" t="n">
        <v>1</v>
      </c>
    </row>
    <row r="10" hidden="1" ht="21.75" customHeight="1">
      <c r="A10" s="158" t="n">
        <v>9</v>
      </c>
      <c r="B10" s="159" t="inlineStr">
        <is>
          <t>Env. Setup</t>
        </is>
      </c>
      <c r="C10" s="159" t="inlineStr">
        <is>
          <t>Azure Infrastructure</t>
        </is>
      </c>
      <c r="D10" s="159" t="inlineStr">
        <is>
          <t>Provisioning of Infrastructure</t>
        </is>
      </c>
      <c r="E10" s="160" t="n">
        <v>46282</v>
      </c>
      <c r="F10" s="160" t="n">
        <v>46282</v>
      </c>
      <c r="G10" s="160" t="n">
        <v>46244</v>
      </c>
      <c r="H10" s="158" t="inlineStr">
        <is>
          <t>—</t>
        </is>
      </c>
      <c r="I10" s="158" t="inlineStr">
        <is>
          <t>Pranay</t>
        </is>
      </c>
      <c r="J10" s="158" t="n"/>
      <c r="K10" s="158" t="n"/>
      <c r="L10" s="9" t="inlineStr">
        <is>
          <t>In Progress</t>
        </is>
      </c>
      <c r="M10" s="8" t="n">
        <v>0.9</v>
      </c>
    </row>
    <row r="11" hidden="1" ht="22.5" customHeight="1">
      <c r="A11" s="158" t="n">
        <v>10</v>
      </c>
      <c r="B11" s="159" t="inlineStr">
        <is>
          <t>DevOps</t>
        </is>
      </c>
      <c r="C11" s="159" t="inlineStr">
        <is>
          <t>Enviornment Setup</t>
        </is>
      </c>
      <c r="D11" s="159" t="inlineStr">
        <is>
          <t>Environment Setup, Git/SonarQube, Manual Deployment, SAP/RPA Connectivity</t>
        </is>
      </c>
      <c r="E11" s="160" t="n">
        <v>46286</v>
      </c>
      <c r="F11" s="160" t="n">
        <v>46288</v>
      </c>
      <c r="G11" s="158" t="inlineStr">
        <is>
          <t>—</t>
        </is>
      </c>
      <c r="H11" s="158" t="inlineStr">
        <is>
          <t>—</t>
        </is>
      </c>
      <c r="I11" s="158" t="inlineStr">
        <is>
          <t>Pranay</t>
        </is>
      </c>
      <c r="J11" s="158" t="n"/>
      <c r="K11" s="158" t="n"/>
      <c r="L11" s="10" t="inlineStr">
        <is>
          <t>Not Started</t>
        </is>
      </c>
      <c r="M11" s="6" t="inlineStr">
        <is>
          <t>—</t>
        </is>
      </c>
    </row>
    <row r="12" hidden="1" ht="22.5" customHeight="1">
      <c r="A12" s="158" t="n">
        <v>11</v>
      </c>
      <c r="B12" s="159" t="inlineStr">
        <is>
          <t>Solution Design</t>
        </is>
      </c>
      <c r="C12" s="159" t="inlineStr">
        <is>
          <t>Solution Arch Creation</t>
        </is>
      </c>
      <c r="D12" s="159" t="inlineStr">
        <is>
          <t>Solution Design &amp; Architecture — HLD, LLD (Database and schema setup)</t>
        </is>
      </c>
      <c r="E12" s="160" t="n">
        <v>46248</v>
      </c>
      <c r="F12" s="160" t="n">
        <v>46252</v>
      </c>
      <c r="G12" s="160" t="n">
        <v>46254</v>
      </c>
      <c r="H12" s="158" t="inlineStr">
        <is>
          <t>—</t>
        </is>
      </c>
      <c r="I12" s="158" t="inlineStr">
        <is>
          <t>Pranay</t>
        </is>
      </c>
      <c r="J12" s="158" t="n"/>
      <c r="K12" s="158" t="n"/>
      <c r="L12" s="7" t="inlineStr">
        <is>
          <t>Completed</t>
        </is>
      </c>
      <c r="M12" s="8" t="n">
        <v>1</v>
      </c>
    </row>
    <row r="13" hidden="1" ht="22.5" customHeight="1">
      <c r="A13" s="158" t="n">
        <v>12</v>
      </c>
      <c r="B13" s="184" t="inlineStr">
        <is>
          <t>Solution Design</t>
        </is>
      </c>
      <c r="C13" s="159" t="inlineStr">
        <is>
          <t>Solution Arch Sign Off</t>
        </is>
      </c>
      <c r="D13" s="159" t="inlineStr">
        <is>
          <t>Solution Design &amp; Architecture — Review &amp; Sign-Off</t>
        </is>
      </c>
      <c r="E13" s="160" t="n">
        <v>46283</v>
      </c>
      <c r="F13" s="160" t="n">
        <v>46283</v>
      </c>
      <c r="G13" s="160" t="n">
        <v>46260</v>
      </c>
      <c r="H13" s="158" t="inlineStr">
        <is>
          <t>—</t>
        </is>
      </c>
      <c r="I13" s="158" t="inlineStr">
        <is>
          <t>Pranay</t>
        </is>
      </c>
      <c r="J13" s="158" t="n"/>
      <c r="K13" s="158" t="n"/>
      <c r="L13" s="9" t="inlineStr">
        <is>
          <t>In Progress</t>
        </is>
      </c>
      <c r="M13" s="8" t="n">
        <v>0.9</v>
      </c>
    </row>
    <row r="14" hidden="1" ht="48" customHeight="1">
      <c r="A14" s="156" t="inlineStr">
        <is>
          <t>P1</t>
        </is>
      </c>
      <c r="B14" s="157" t="inlineStr">
        <is>
          <t>PHASE 1</t>
        </is>
      </c>
      <c r="C14" s="157" t="inlineStr">
        <is>
          <t>Core Platform &amp; Standard Invoice Processing</t>
        </is>
      </c>
      <c r="D14" s="157" t="inlineStr">
        <is>
          <t>Dev complete 30-Oct-2026 | Functional tests 19–28 Oct (progressive) | Phase 1 E2E 02–03 Nov | SAP integration, ingestion, AI extraction, validation/reconciliation, approvals, notifications.</t>
        </is>
      </c>
      <c r="E14" s="161" t="n">
        <v>46272</v>
      </c>
      <c r="F14" s="161" t="n">
        <v>46329</v>
      </c>
      <c r="G14" s="161" t="n">
        <v>46260</v>
      </c>
      <c r="H14" s="156" t="inlineStr">
        <is>
          <t>—</t>
        </is>
      </c>
      <c r="I14" s="156" t="inlineStr">
        <is>
          <t>Team</t>
        </is>
      </c>
      <c r="J14" s="156" t="n"/>
      <c r="K14" s="156" t="n"/>
      <c r="L14" s="9" t="inlineStr">
        <is>
          <t>In Progress</t>
        </is>
      </c>
      <c r="M14" s="11" t="n">
        <v>0.21</v>
      </c>
    </row>
    <row r="15" hidden="1" ht="22.5" customHeight="1">
      <c r="A15" s="158" t="n">
        <v>13</v>
      </c>
      <c r="B15" s="159" t="inlineStr">
        <is>
          <t>Phase 1</t>
        </is>
      </c>
      <c r="C15" s="159" t="inlineStr">
        <is>
          <t>Core Application &amp; Foundation</t>
        </is>
      </c>
      <c r="D15" s="159" t="inlineStr">
        <is>
          <t>React, Node.js/TypeScript &amp; PostgreSQL application foundation</t>
        </is>
      </c>
      <c r="E15" s="160" t="n">
        <v>46265</v>
      </c>
      <c r="F15" s="160" t="n">
        <v>46265</v>
      </c>
      <c r="G15" s="160" t="n">
        <v>46265</v>
      </c>
      <c r="H15" s="160" t="n">
        <v>46265</v>
      </c>
      <c r="I15" s="158" t="inlineStr">
        <is>
          <t>Rahul</t>
        </is>
      </c>
      <c r="J15" s="158" t="n"/>
      <c r="K15" s="158" t="n"/>
      <c r="L15" s="7" t="inlineStr">
        <is>
          <t>Completed</t>
        </is>
      </c>
      <c r="M15" s="8" t="n">
        <v>1</v>
      </c>
    </row>
    <row r="16" hidden="1" ht="22.5" customHeight="1">
      <c r="A16" s="158" t="n">
        <v>14</v>
      </c>
      <c r="B16" s="14" t="inlineStr">
        <is>
          <t>Phase 1</t>
        </is>
      </c>
      <c r="C16" s="184" t="inlineStr">
        <is>
          <t>DevOps &amp; Environment</t>
        </is>
      </c>
      <c r="D16" s="14" t="inlineStr">
        <is>
          <t>Environment configuration — Azure resources, networking, Key Vault &amp; deployment pipeline</t>
        </is>
      </c>
      <c r="E16" s="162" t="n">
        <v>46289</v>
      </c>
      <c r="F16" s="160" t="n">
        <v>46293</v>
      </c>
      <c r="G16" s="158" t="inlineStr">
        <is>
          <t>—</t>
        </is>
      </c>
      <c r="H16" s="158" t="inlineStr">
        <is>
          <t>—</t>
        </is>
      </c>
      <c r="I16" s="158" t="inlineStr">
        <is>
          <t>Pranay</t>
        </is>
      </c>
      <c r="J16" s="158" t="n"/>
      <c r="K16" s="158" t="n"/>
      <c r="L16" s="12" t="inlineStr">
        <is>
          <t>Not Started</t>
        </is>
      </c>
      <c r="M16" s="8" t="n">
        <v>0</v>
      </c>
    </row>
    <row r="17" hidden="1" ht="22.5" customHeight="1">
      <c r="A17" s="158" t="n">
        <v>15</v>
      </c>
      <c r="B17" s="14" t="inlineStr">
        <is>
          <t>Phase 1</t>
        </is>
      </c>
      <c r="C17" s="184" t="inlineStr">
        <is>
          <t>DevOps &amp; Environment</t>
        </is>
      </c>
      <c r="D17" s="14" t="inlineStr">
        <is>
          <t>Environment configuration — application settings, environment variables, DB migration &amp; deployment validation</t>
        </is>
      </c>
      <c r="E17" s="162" t="n">
        <v>46288</v>
      </c>
      <c r="F17" s="160" t="n">
        <v>46289</v>
      </c>
      <c r="G17" s="158" t="inlineStr">
        <is>
          <t>—</t>
        </is>
      </c>
      <c r="H17" s="158" t="inlineStr">
        <is>
          <t>—</t>
        </is>
      </c>
      <c r="I17" s="158" t="inlineStr">
        <is>
          <t>Rahul</t>
        </is>
      </c>
      <c r="J17" s="158" t="n"/>
      <c r="K17" s="158" t="n"/>
      <c r="L17" s="12" t="inlineStr">
        <is>
          <t>Not Started</t>
        </is>
      </c>
      <c r="M17" s="8" t="n">
        <v>0</v>
      </c>
    </row>
    <row r="18" hidden="1" ht="21.75" customHeight="1">
      <c r="A18" s="158" t="n">
        <v>16</v>
      </c>
      <c r="B18" s="14" t="inlineStr">
        <is>
          <t>Phase 1</t>
        </is>
      </c>
      <c r="C18" s="184" t="inlineStr">
        <is>
          <t>DevOps &amp; Environment</t>
        </is>
      </c>
      <c r="D18" s="14" t="inlineStr">
        <is>
          <t>Microsoft Entra ID SSO POC and Fiori / Direct Portal entry</t>
        </is>
      </c>
      <c r="E18" s="162" t="n">
        <v>46260</v>
      </c>
      <c r="F18" s="160" t="n">
        <v>46265</v>
      </c>
      <c r="G18" s="160" t="n">
        <v>46258</v>
      </c>
      <c r="H18" s="160" t="n">
        <v>46260</v>
      </c>
      <c r="I18" s="158" t="inlineStr">
        <is>
          <t>Rahul</t>
        </is>
      </c>
      <c r="J18" s="158" t="inlineStr">
        <is>
          <t>Suganth</t>
        </is>
      </c>
      <c r="K18" s="228" t="inlineStr">
        <is>
          <t>Passed</t>
        </is>
      </c>
      <c r="L18" s="13" t="inlineStr">
        <is>
          <t>Dev Complete</t>
        </is>
      </c>
      <c r="M18" s="8" t="n">
        <v>1</v>
      </c>
      <c r="N18" t="inlineStr">
        <is>
          <t>[QA 23-Sep-26 Suganth] Entra SSO login to portal works; unauthenticated API calls return 401.</t>
        </is>
      </c>
    </row>
    <row r="19" hidden="1" ht="21.75" customHeight="1">
      <c r="A19" s="158" t="n">
        <v>17</v>
      </c>
      <c r="B19" s="14" t="inlineStr">
        <is>
          <t>Phase 1</t>
        </is>
      </c>
      <c r="C19" s="14" t="inlineStr">
        <is>
          <t>Authentication &amp; Access</t>
        </is>
      </c>
      <c r="D19" s="14" t="inlineStr">
        <is>
          <t>RBAC, role mapping, authorization and controlled user/role administration</t>
        </is>
      </c>
      <c r="E19" s="162" t="n">
        <v>46272</v>
      </c>
      <c r="F19" s="160" t="n">
        <v>46275</v>
      </c>
      <c r="G19" s="160" t="n">
        <v>46260</v>
      </c>
      <c r="H19" s="160" t="n">
        <v>46261</v>
      </c>
      <c r="I19" s="158" t="inlineStr">
        <is>
          <t>Rahul</t>
        </is>
      </c>
      <c r="J19" s="158" t="inlineStr">
        <is>
          <t>Suganth</t>
        </is>
      </c>
      <c r="K19" s="228" t="inlineStr">
        <is>
          <t>Passed</t>
        </is>
      </c>
      <c r="L19" s="13" t="inlineStr">
        <is>
          <t>Dev Complete</t>
        </is>
      </c>
      <c r="M19" s="8" t="n">
        <v>1</v>
      </c>
      <c r="N19" t="inlineStr">
        <is>
          <t>[QA 23-Sep-26 Suganth] all APIs reject calls without session (401); role resolved from USERS table. Gaps: FE routes not role-gated (sidebar only); /ap-invoice-ocr/extract also allows VENDOR/FINANCE/BUSINESS roles.</t>
        </is>
      </c>
    </row>
    <row r="20" hidden="1" ht="57" customHeight="1">
      <c r="A20" s="158" t="n">
        <v>18</v>
      </c>
      <c r="B20" s="14" t="inlineStr">
        <is>
          <t>Phase 1</t>
        </is>
      </c>
      <c r="C20" s="184" t="inlineStr">
        <is>
          <t>Authentication &amp; Access</t>
        </is>
      </c>
      <c r="D20" s="14" t="inlineStr">
        <is>
          <t>Entra ID SSO integration, session validation and logout management</t>
        </is>
      </c>
      <c r="E20" s="162" t="n">
        <v>46272</v>
      </c>
      <c r="F20" s="160" t="n">
        <v>46275</v>
      </c>
      <c r="G20" s="160" t="n">
        <v>46261</v>
      </c>
      <c r="H20" s="160" t="n">
        <v>46262</v>
      </c>
      <c r="I20" s="158" t="inlineStr">
        <is>
          <t>Rahul</t>
        </is>
      </c>
      <c r="J20" s="158" t="inlineStr">
        <is>
          <t>Suganth</t>
        </is>
      </c>
      <c r="K20" s="229" t="inlineStr">
        <is>
          <t>Failed</t>
        </is>
      </c>
      <c r="L20" s="13" t="inlineStr">
        <is>
          <t>Dev Complete</t>
        </is>
      </c>
      <c r="M20" s="8" t="n">
        <v>1</v>
      </c>
      <c r="N20" t="inlineStr">
        <is>
          <t>[QA 23-Sep-26 Suganth] express-session uses in-memory store - every backend restart logs all users out; not safe for multiple instances. Use a Postgres/Redis session store.</t>
        </is>
      </c>
    </row>
    <row r="21" hidden="1" ht="22.5" customHeight="1">
      <c r="A21" s="158" t="n">
        <v>19</v>
      </c>
      <c r="B21" s="14" t="inlineStr">
        <is>
          <t>Phase 1</t>
        </is>
      </c>
      <c r="C21" s="184" t="inlineStr">
        <is>
          <t>Authentication &amp; Access</t>
        </is>
      </c>
      <c r="D21" s="14" t="inlineStr">
        <is>
          <t>Direct Portal Entry with SAP SSO</t>
        </is>
      </c>
      <c r="E21" s="162" t="n">
        <v>46272</v>
      </c>
      <c r="F21" s="160" t="n">
        <v>46275</v>
      </c>
      <c r="G21" s="160" t="n">
        <v>46258</v>
      </c>
      <c r="H21" s="160" t="n">
        <v>46260</v>
      </c>
      <c r="I21" s="158" t="inlineStr">
        <is>
          <t>Rahul</t>
        </is>
      </c>
      <c r="J21" s="158" t="inlineStr">
        <is>
          <t>Suganth</t>
        </is>
      </c>
      <c r="K21" s="230" t="inlineStr">
        <is>
          <t>Blocked</t>
        </is>
      </c>
      <c r="L21" s="13" t="inlineStr">
        <is>
          <t>Dev Complete</t>
        </is>
      </c>
      <c r="M21" s="8" t="n">
        <v>1</v>
      </c>
      <c r="N21" t="inlineStr">
        <is>
          <t>[QA 23-Sep-26 Suganth] SAP IAS SSO disabled in local build - Direct Portal Entry with SAP SSO could not be tested.</t>
        </is>
      </c>
    </row>
    <row r="22" hidden="1" ht="14.25" customHeight="1">
      <c r="A22" s="158" t="n">
        <v>20</v>
      </c>
      <c r="B22" s="14" t="inlineStr">
        <is>
          <t>Phase 1</t>
        </is>
      </c>
      <c r="C22" s="184" t="inlineStr">
        <is>
          <t>Authentication &amp; Access</t>
        </is>
      </c>
      <c r="D22" s="14" t="inlineStr">
        <is>
          <t>Session &amp; Logout Management [RBAC]</t>
        </is>
      </c>
      <c r="E22" s="162" t="n">
        <v>46272</v>
      </c>
      <c r="F22" s="160" t="n">
        <v>46275</v>
      </c>
      <c r="G22" s="160" t="n">
        <v>46265</v>
      </c>
      <c r="H22" s="160" t="n">
        <v>46266</v>
      </c>
      <c r="I22" s="158" t="inlineStr">
        <is>
          <t>Rahul</t>
        </is>
      </c>
      <c r="J22" s="158" t="inlineStr">
        <is>
          <t>Suganth</t>
        </is>
      </c>
      <c r="K22" s="229" t="inlineStr">
        <is>
          <t>Failed</t>
        </is>
      </c>
      <c r="L22" s="13" t="inlineStr">
        <is>
          <t>Dev Complete</t>
        </is>
      </c>
      <c r="M22" s="8" t="n">
        <v>1</v>
      </c>
      <c r="N22" t="inlineStr">
        <is>
          <t>[QA 23-Sep-26 Suganth] sessions lost on every backend restart (in-memory store). Login/logout itself works.</t>
        </is>
      </c>
    </row>
    <row r="23" ht="33.75" customHeight="1">
      <c r="A23" s="158" t="n">
        <v>21</v>
      </c>
      <c r="B23" s="14" t="inlineStr">
        <is>
          <t>Phase 1</t>
        </is>
      </c>
      <c r="C23" s="14" t="inlineStr">
        <is>
          <t>Admin &amp; Configuration</t>
        </is>
      </c>
      <c r="D23" s="14" t="inlineStr">
        <is>
          <t>Invoice category/subcategory and document matrix configuration</t>
        </is>
      </c>
      <c r="E23" s="162" t="n">
        <v>46272</v>
      </c>
      <c r="F23" s="160" t="n">
        <v>46275</v>
      </c>
      <c r="G23" s="160" t="n">
        <v>46251</v>
      </c>
      <c r="H23" s="160" t="n">
        <v>46253</v>
      </c>
      <c r="I23" s="158" t="inlineStr">
        <is>
          <t>Sabrina</t>
        </is>
      </c>
      <c r="J23" s="158" t="inlineStr">
        <is>
          <t>Suganth</t>
        </is>
      </c>
      <c r="K23" s="228" t="inlineStr">
        <is>
          <t>Passed</t>
        </is>
      </c>
      <c r="L23" s="13" t="inlineStr">
        <is>
          <t>Dev Complete</t>
        </is>
      </c>
      <c r="M23" s="8" t="n">
        <v>1</v>
      </c>
      <c r="N23" t="inlineStr">
        <is>
          <t>[QA 23-Sep-26 Suganth] add/remove document type for Manpower persists. Gaps: Invoice Category tab is read-only (no add category/subcategory in UI); all Manpower documents set to Optional for extraction.</t>
        </is>
      </c>
    </row>
    <row r="24" ht="33.75" customHeight="1">
      <c r="A24" s="158" t="n">
        <v>22</v>
      </c>
      <c r="B24" s="14" t="inlineStr">
        <is>
          <t>Phase 1</t>
        </is>
      </c>
      <c r="C24" s="14" t="inlineStr">
        <is>
          <t>Admin &amp; Configuration</t>
        </is>
      </c>
      <c r="D24" s="14" t="inlineStr">
        <is>
          <t>Field/schema and category/document prompt configuration</t>
        </is>
      </c>
      <c r="E24" s="162" t="n">
        <v>46276</v>
      </c>
      <c r="F24" s="160" t="n">
        <v>46279</v>
      </c>
      <c r="G24" s="160" t="n">
        <v>46246</v>
      </c>
      <c r="H24" s="160" t="n">
        <v>46253</v>
      </c>
      <c r="I24" s="158" t="inlineStr">
        <is>
          <t>Sabrina</t>
        </is>
      </c>
      <c r="J24" s="158" t="inlineStr">
        <is>
          <t>Suganth</t>
        </is>
      </c>
      <c r="K24" s="228" t="inlineStr">
        <is>
          <t>Passed</t>
        </is>
      </c>
      <c r="L24" s="13" t="inlineStr">
        <is>
          <t>Dev Complete</t>
        </is>
      </c>
      <c r="M24" s="8" t="n">
        <v>1</v>
      </c>
      <c r="N24" t="inlineStr">
        <is>
          <t>[QA 23-Sep-26 Suganth] fields-to-capture and extraction/classification prompt previews load per invoice type; 7 docs extracted correctly from synthetic Manpower package.</t>
        </is>
      </c>
    </row>
    <row r="25" ht="22.5" customHeight="1">
      <c r="A25" s="158" t="n">
        <v>23</v>
      </c>
      <c r="B25" s="14" t="inlineStr">
        <is>
          <t>Phase 1</t>
        </is>
      </c>
      <c r="C25" s="14" t="inlineStr">
        <is>
          <t>Admin &amp; Configuration</t>
        </is>
      </c>
      <c r="D25" s="14" t="inlineStr">
        <is>
          <t>Validation rule, tolerance and outcome-code metadata configuration (config model &amp; Admin UI)</t>
        </is>
      </c>
      <c r="E25" s="162" t="n">
        <v>46282</v>
      </c>
      <c r="F25" s="160" t="n">
        <v>46282</v>
      </c>
      <c r="G25" s="160" t="n">
        <v>46253</v>
      </c>
      <c r="H25" s="160" t="n">
        <v>46276</v>
      </c>
      <c r="I25" s="158" t="inlineStr">
        <is>
          <t>Sabrina</t>
        </is>
      </c>
      <c r="J25" s="158" t="inlineStr">
        <is>
          <t>Suganth</t>
        </is>
      </c>
      <c r="K25" s="228" t="inlineStr">
        <is>
          <t>Passed</t>
        </is>
      </c>
      <c r="L25" s="13" t="inlineStr">
        <is>
          <t>Dev Complete</t>
        </is>
      </c>
      <c r="M25" s="8" t="n">
        <v>1</v>
      </c>
      <c r="N25" t="inlineStr">
        <is>
          <t>[QA 23-Sep-26 Suganth] SAP mapping create/edit/delete, duplicate mapping blocked (409), tolerance edit persists, validation rule create/toggle/delete OK. Gaps: no endpoint to create/publish a config version (version dropdown is mock); severity/outcome code not exposed in mapping API.</t>
        </is>
      </c>
    </row>
    <row r="26" hidden="1" ht="22.5" customHeight="1">
      <c r="A26" s="158" t="n">
        <v>25</v>
      </c>
      <c r="B26" s="14" t="inlineStr">
        <is>
          <t>Phase 1</t>
        </is>
      </c>
      <c r="C26" s="184" t="inlineStr">
        <is>
          <t>Admin &amp; Configuration</t>
        </is>
      </c>
      <c r="D26" s="14" t="inlineStr">
        <is>
          <t>SLA &amp; Due-Date Settings and Email template integration</t>
        </is>
      </c>
      <c r="E26" s="162" t="n">
        <v>46272</v>
      </c>
      <c r="F26" s="160" t="n">
        <v>46275</v>
      </c>
      <c r="G26" s="160" t="n">
        <v>46272</v>
      </c>
      <c r="H26" s="160" t="n">
        <v>46275</v>
      </c>
      <c r="I26" s="158" t="inlineStr">
        <is>
          <t>Rahul</t>
        </is>
      </c>
      <c r="J26" s="158" t="inlineStr">
        <is>
          <t>Suganth</t>
        </is>
      </c>
      <c r="K26" s="229" t="inlineStr">
        <is>
          <t>Failed</t>
        </is>
      </c>
      <c r="L26" s="195" t="inlineStr">
        <is>
          <t>Dev Complete</t>
        </is>
      </c>
      <c r="M26" s="8" t="n">
        <v>1</v>
      </c>
      <c r="N26" t="inlineStr">
        <is>
          <t>[QA 23-Sep-26 Suganth] (1) SLA started on weekend: Sat 10:00 + 1 business day = Mon 10:00 (expected Tue 08:00). (2) 4 duplicate DRAFT_INVOICE_CREATION SLA clocks on one invoice, shown 'Breached' with '+4h 49m remaining'. (3) Policies reference email templates tpl-18/tpl-21 that do not exist. (4) Warning window (8h) larger than SLA duration (1h) is accepted.</t>
        </is>
      </c>
    </row>
    <row r="27" hidden="1" ht="22.5" customHeight="1">
      <c r="A27" s="158" t="n">
        <v>26</v>
      </c>
      <c r="B27" s="14" t="inlineStr">
        <is>
          <t>Phase 1</t>
        </is>
      </c>
      <c r="C27" s="184" t="inlineStr">
        <is>
          <t>Admin &amp; Configuration</t>
        </is>
      </c>
      <c r="D27" s="14" t="inlineStr">
        <is>
          <t>Reminder Schedules</t>
        </is>
      </c>
      <c r="E27" s="162" t="n">
        <v>46274</v>
      </c>
      <c r="F27" s="160" t="n">
        <v>46276</v>
      </c>
      <c r="G27" s="196" t="n">
        <v>46274</v>
      </c>
      <c r="H27" s="160" t="n">
        <v>46276</v>
      </c>
      <c r="I27" s="158" t="inlineStr">
        <is>
          <t>Rahul</t>
        </is>
      </c>
      <c r="J27" s="158" t="inlineStr">
        <is>
          <t>Suganth</t>
        </is>
      </c>
      <c r="K27" s="229" t="inlineStr">
        <is>
          <t>Failed</t>
        </is>
      </c>
      <c r="L27" s="13" t="inlineStr">
        <is>
          <t>Dev Complete</t>
        </is>
      </c>
      <c r="M27" s="8" t="n">
        <v>1</v>
      </c>
      <c r="N27" t="inlineStr">
        <is>
          <t>[QA 23-Sep-26 Suganth] SLA_TEST_EMAIL override did not replace role recipient (ap.team@essa.com still emailed); on start-up 105 backlog reminders were sent in one burst.</t>
        </is>
      </c>
    </row>
    <row r="28" hidden="1" ht="22.5" customHeight="1">
      <c r="A28" s="158" t="n">
        <v>27</v>
      </c>
      <c r="B28" s="14" t="inlineStr">
        <is>
          <t>Phase 1</t>
        </is>
      </c>
      <c r="C28" s="184" t="inlineStr">
        <is>
          <t>Admin &amp; Configuration</t>
        </is>
      </c>
      <c r="D28" s="14" t="inlineStr">
        <is>
          <t>Escalation Schedules</t>
        </is>
      </c>
      <c r="E28" s="162" t="n">
        <v>46274</v>
      </c>
      <c r="F28" s="160" t="n">
        <v>46276</v>
      </c>
      <c r="G28" s="196" t="n">
        <v>46274</v>
      </c>
      <c r="H28" s="160" t="n">
        <v>46276</v>
      </c>
      <c r="I28" s="158" t="inlineStr">
        <is>
          <t>Rahul</t>
        </is>
      </c>
      <c r="J28" s="158" t="inlineStr">
        <is>
          <t>Suganth</t>
        </is>
      </c>
      <c r="K28" s="228" t="inlineStr">
        <is>
          <t>Passed</t>
        </is>
      </c>
      <c r="L28" s="195" t="inlineStr">
        <is>
          <t>Dev Complete</t>
        </is>
      </c>
      <c r="M28" s="8" t="n">
        <v>1</v>
      </c>
      <c r="N28" t="inlineStr">
        <is>
          <t>[QA 23-Sep-26 Suganth] escalation config (ESC001) saved with targets/channels/template; policy clone/test/delete lifecycle OK. Note: escalation template tpl-21 missing in this DB.</t>
        </is>
      </c>
    </row>
    <row r="29" hidden="1" ht="33.75" customHeight="1">
      <c r="A29" s="158" t="n">
        <v>28</v>
      </c>
      <c r="B29" s="14" t="inlineStr">
        <is>
          <t>Phase 1</t>
        </is>
      </c>
      <c r="C29" s="184" t="inlineStr">
        <is>
          <t>Admin &amp; Configuration</t>
        </is>
      </c>
      <c r="D29" s="14" t="inlineStr">
        <is>
          <t>Email Templates</t>
        </is>
      </c>
      <c r="E29" s="162" t="n">
        <v>46267</v>
      </c>
      <c r="F29" s="160" t="n">
        <v>46269</v>
      </c>
      <c r="G29" s="196" t="n">
        <v>46267</v>
      </c>
      <c r="H29" s="160" t="n">
        <v>46269</v>
      </c>
      <c r="I29" s="158" t="inlineStr">
        <is>
          <t>Rahul</t>
        </is>
      </c>
      <c r="J29" s="158" t="inlineStr">
        <is>
          <t>Suganth</t>
        </is>
      </c>
      <c r="K29" s="228" t="inlineStr">
        <is>
          <t>Passed</t>
        </is>
      </c>
      <c r="L29" s="13" t="inlineStr">
        <is>
          <t>Dev Complete</t>
        </is>
      </c>
      <c r="M29" s="8" t="n">
        <v>1</v>
      </c>
      <c r="N29" t="inlineStr">
        <is>
          <t>[QA 23-Sep-26 Suganth] email templates list (13), preview, duplicate, update and delete all OK.</t>
        </is>
      </c>
    </row>
    <row r="30" hidden="1" ht="60" customHeight="1">
      <c r="A30" s="158" t="n">
        <v>29</v>
      </c>
      <c r="B30" s="185" t="inlineStr">
        <is>
          <t>Phase 1</t>
        </is>
      </c>
      <c r="C30" s="189" t="inlineStr">
        <is>
          <t>Admin &amp; Configuration</t>
        </is>
      </c>
      <c r="D30" s="185" t="inlineStr">
        <is>
          <t>Teams Notification Delivery</t>
        </is>
      </c>
      <c r="E30" s="186" t="n">
        <v>46279</v>
      </c>
      <c r="F30" s="187" t="n"/>
      <c r="G30" s="186" t="n">
        <v>46279</v>
      </c>
      <c r="H30" s="187" t="n"/>
      <c r="I30" s="188" t="inlineStr">
        <is>
          <t>Rahul</t>
        </is>
      </c>
      <c r="J30" s="188" t="n"/>
      <c r="K30" s="188" t="n"/>
      <c r="L30" s="9" t="inlineStr">
        <is>
          <t>In Progress</t>
        </is>
      </c>
      <c r="M30" s="8" t="n">
        <v>0.3</v>
      </c>
      <c r="N30" s="4" t="inlineStr">
        <is>
          <t>We need Microsoft 365 license to send the Teams notifications from the application, I did some code changes but need the license id to test them.</t>
        </is>
      </c>
    </row>
    <row r="31" ht="33.75" customHeight="1">
      <c r="A31" s="158" t="n">
        <v>30</v>
      </c>
      <c r="B31" s="14" t="inlineStr">
        <is>
          <t>Phase 1</t>
        </is>
      </c>
      <c r="C31" s="14" t="inlineStr">
        <is>
          <t>Invoice Ingestion</t>
        </is>
      </c>
      <c r="D31" s="14" t="inlineStr">
        <is>
          <t>AP mailbox visibility, manual polling, connectivity and controlled checkpointing</t>
        </is>
      </c>
      <c r="E31" s="162" t="n">
        <v>46272</v>
      </c>
      <c r="F31" s="160" t="n">
        <v>46276</v>
      </c>
      <c r="G31" s="160" t="n">
        <v>46259</v>
      </c>
      <c r="H31" s="160" t="n">
        <v>46261</v>
      </c>
      <c r="I31" s="158" t="inlineStr">
        <is>
          <t>Sabrina</t>
        </is>
      </c>
      <c r="J31" s="158" t="inlineStr">
        <is>
          <t>Suganth</t>
        </is>
      </c>
      <c r="K31" s="228" t="inlineStr">
        <is>
          <t>Passed</t>
        </is>
      </c>
      <c r="L31" s="13" t="inlineStr">
        <is>
          <t>Dev Complete</t>
        </is>
      </c>
      <c r="M31" s="8" t="n">
        <v>1</v>
      </c>
      <c r="N31" t="inlineStr">
        <is>
          <t>[QA 23-Sep-26 Suganth] manual 'Poll mailbox' and 3-minute scheduler work. Risk: only the newest 25 inbox messages are scanned per poll with no checkpoint - EAPA mail below the top 25 is never picked up.</t>
        </is>
      </c>
    </row>
    <row r="32" ht="21.75" customHeight="1">
      <c r="A32" s="158" t="n">
        <v>31</v>
      </c>
      <c r="B32" s="14" t="inlineStr">
        <is>
          <t>Phase 1</t>
        </is>
      </c>
      <c r="C32" s="14" t="inlineStr">
        <is>
          <t>Invoice Ingestion</t>
        </is>
      </c>
      <c r="D32" s="14" t="inlineStr">
        <is>
          <t>Email, attachment and invoice/bundle registration</t>
        </is>
      </c>
      <c r="E32" s="162" t="n">
        <v>46279</v>
      </c>
      <c r="F32" s="160" t="n">
        <v>46280</v>
      </c>
      <c r="G32" s="160" t="n">
        <v>46259</v>
      </c>
      <c r="H32" s="160" t="n">
        <v>46260</v>
      </c>
      <c r="I32" s="158" t="inlineStr">
        <is>
          <t>Sabrina</t>
        </is>
      </c>
      <c r="J32" s="158" t="inlineStr">
        <is>
          <t>Suganth</t>
        </is>
      </c>
      <c r="K32" s="228" t="inlineStr">
        <is>
          <t>Passed</t>
        </is>
      </c>
      <c r="L32" s="13" t="inlineStr">
        <is>
          <t>Dev Complete</t>
        </is>
      </c>
      <c r="M32" s="8" t="n">
        <v>1</v>
      </c>
      <c r="N32" t="inlineStr">
        <is>
          <t>[QA 23-Sep-26 Suganth] emailed Manpower invoice (INV 520, 18 MB PDF) and synthetic package (INV 901) registered as ESSA invoices with attachment and inbound-email records.</t>
        </is>
      </c>
    </row>
    <row r="33" ht="22.5" customHeight="1">
      <c r="A33" s="158" t="n">
        <v>32</v>
      </c>
      <c r="B33" s="14" t="inlineStr">
        <is>
          <t>Phase 1</t>
        </is>
      </c>
      <c r="C33" s="14" t="inlineStr">
        <is>
          <t>Invoice Ingestion</t>
        </is>
      </c>
      <c r="D33" s="14" t="inlineStr">
        <is>
          <t>File controls, ZIP handling and one-PDF-one-invoice validation</t>
        </is>
      </c>
      <c r="E33" s="162" t="n">
        <v>46281</v>
      </c>
      <c r="F33" s="160" t="n">
        <v>46282</v>
      </c>
      <c r="G33" s="160" t="n">
        <v>46259</v>
      </c>
      <c r="H33" s="160" t="n">
        <v>46262</v>
      </c>
      <c r="I33" s="158" t="inlineStr">
        <is>
          <t>Sabrina</t>
        </is>
      </c>
      <c r="J33" s="158" t="inlineStr">
        <is>
          <t>Suganth</t>
        </is>
      </c>
      <c r="K33" s="229" t="inlineStr">
        <is>
          <t>Failed</t>
        </is>
      </c>
      <c r="L33" s="13" t="inlineStr">
        <is>
          <t>Dev Complete</t>
        </is>
      </c>
      <c r="M33" s="8" t="n">
        <v>1</v>
      </c>
      <c r="N33" t="inlineStr">
        <is>
          <t>[QA 23-Sep-26 Suganth] portal upload rejects ZIP files entirely (even a ZIP with one PDF) - 'No supported files found'. Corrupt PDF correctly rejected ('Invalid PDF').</t>
        </is>
      </c>
    </row>
    <row r="34" ht="33.75" customHeight="1">
      <c r="A34" s="158" t="n">
        <v>33</v>
      </c>
      <c r="B34" s="14" t="inlineStr">
        <is>
          <t>Phase 1</t>
        </is>
      </c>
      <c r="C34" s="14" t="inlineStr">
        <is>
          <t>Invoice Ingestion</t>
        </is>
      </c>
      <c r="D34" s="14" t="inlineStr">
        <is>
          <t>Email subject parsing, category/PO hints, DOCREQ correlation and duplicate controls</t>
        </is>
      </c>
      <c r="E34" s="162" t="n">
        <v>46283</v>
      </c>
      <c r="F34" s="160" t="n">
        <v>46286</v>
      </c>
      <c r="G34" s="160" t="n">
        <v>46259</v>
      </c>
      <c r="H34" s="160" t="n">
        <v>46260</v>
      </c>
      <c r="I34" s="158" t="inlineStr">
        <is>
          <t>Sabrina</t>
        </is>
      </c>
      <c r="J34" s="158" t="inlineStr">
        <is>
          <t>Suganth</t>
        </is>
      </c>
      <c r="K34" s="229" t="inlineStr">
        <is>
          <t>Failed</t>
        </is>
      </c>
      <c r="L34" s="13" t="inlineStr">
        <is>
          <t>Dev Complete</t>
        </is>
      </c>
      <c r="M34" s="8" t="n">
        <v>1</v>
      </c>
      <c r="N34" t="inlineStr">
        <is>
          <t>[QA 23-Sep-26 Suganth] (1) duplicate invoice-number check disabled in code (apInvoiceDocument.service.ts:1579) - 520/PT.ALE-PAU/12/2025 now registered 5x, 568 18x. (2) Malformed [EAPA] subject (PO without ':') silently skipped - no INVALID_SUBJECT record, vendor not informed. (3) App's own DOCREQ emails are re-ingested as vendor replies (NO_DOCUMENT). DOCREQ subject correlation works.</t>
        </is>
      </c>
    </row>
    <row r="35" ht="22.5" customHeight="1">
      <c r="A35" s="158" t="n">
        <v>34</v>
      </c>
      <c r="B35" s="14" t="inlineStr">
        <is>
          <t>Phase 1</t>
        </is>
      </c>
      <c r="C35" s="14" t="inlineStr">
        <is>
          <t>Invoice Ingestion</t>
        </is>
      </c>
      <c r="D35" s="14" t="inlineStr">
        <is>
          <t>SharePoint watch-folder ingestion</t>
        </is>
      </c>
      <c r="E35" s="162" t="n">
        <v>46287</v>
      </c>
      <c r="F35" s="160" t="n">
        <v>46288</v>
      </c>
      <c r="G35" s="160" t="n">
        <v>46261</v>
      </c>
      <c r="H35" s="160" t="n">
        <v>46262</v>
      </c>
      <c r="I35" s="158" t="inlineStr">
        <is>
          <t>Sabrina</t>
        </is>
      </c>
      <c r="J35" s="158" t="inlineStr">
        <is>
          <t>Suganth</t>
        </is>
      </c>
      <c r="K35" s="228" t="inlineStr">
        <is>
          <t>Passed</t>
        </is>
      </c>
      <c r="L35" s="13" t="inlineStr">
        <is>
          <t>Dev Complete</t>
        </is>
      </c>
      <c r="M35" s="8" t="n">
        <v>1</v>
      </c>
      <c r="N35" t="inlineStr">
        <is>
          <t>[QA 23-Sep-26 Suganth] SharePoint intake simulation processed a valid file name (PO/vendor/invoice parsed). Notes: malformed name rejected with misleading message 'Subject must start with [EAPA]'; PO format needs ':' which SharePoint file names cannot contain.</t>
        </is>
      </c>
    </row>
    <row r="36" ht="14.25" customHeight="1">
      <c r="A36" s="158" t="n">
        <v>35</v>
      </c>
      <c r="B36" s="14" t="inlineStr">
        <is>
          <t>Phase 1</t>
        </is>
      </c>
      <c r="C36" s="14" t="inlineStr">
        <is>
          <t>Invoice Ingestion</t>
        </is>
      </c>
      <c r="D36" s="14" t="inlineStr">
        <is>
          <t>Admin-only manual portal invoice upload</t>
        </is>
      </c>
      <c r="E36" s="162" t="n">
        <v>46269</v>
      </c>
      <c r="F36" s="160" t="n">
        <v>46269</v>
      </c>
      <c r="G36" s="160" t="n">
        <v>46273</v>
      </c>
      <c r="H36" s="160" t="n">
        <v>46273</v>
      </c>
      <c r="I36" s="158" t="inlineStr">
        <is>
          <t>Sabrina</t>
        </is>
      </c>
      <c r="J36" s="158" t="inlineStr">
        <is>
          <t>Suganth</t>
        </is>
      </c>
      <c r="K36" s="228" t="inlineStr">
        <is>
          <t>Passed</t>
        </is>
      </c>
      <c r="L36" s="13" t="inlineStr">
        <is>
          <t>Dev Complete</t>
        </is>
      </c>
      <c r="M36" s="8" t="n">
        <v>1</v>
      </c>
      <c r="N36" t="inlineStr">
        <is>
          <t>[QA 23-Sep-26 Suganth] admin manual upload of synthetic Manpower package - 7 documents extracted, invoice 902 created with correct amounts/dates, SLA started, validation ran (9/12, remaining fails due to mock SES/rate data).</t>
        </is>
      </c>
    </row>
    <row r="37" ht="22.5" customHeight="1">
      <c r="A37" s="158" t="n">
        <v>36</v>
      </c>
      <c r="B37" s="14" t="inlineStr">
        <is>
          <t>Phase 1</t>
        </is>
      </c>
      <c r="C37" s="14" t="inlineStr">
        <is>
          <t>Invoice Ingestion</t>
        </is>
      </c>
      <c r="D37" s="14" t="inlineStr">
        <is>
          <t>Missing-document request case creation, vendor email review/send and DOCREQ correlation</t>
        </is>
      </c>
      <c r="E37" s="162" t="n">
        <v>46289</v>
      </c>
      <c r="F37" s="160" t="n">
        <v>46293</v>
      </c>
      <c r="G37" s="160" t="n">
        <v>46259</v>
      </c>
      <c r="H37" s="160" t="n">
        <v>46274</v>
      </c>
      <c r="I37" s="158" t="inlineStr">
        <is>
          <t>Sabrina</t>
        </is>
      </c>
      <c r="J37" s="158" t="inlineStr">
        <is>
          <t>Suganth</t>
        </is>
      </c>
      <c r="K37" s="229" t="inlineStr">
        <is>
          <t>Failed</t>
        </is>
      </c>
      <c r="L37" s="13" t="inlineStr">
        <is>
          <t>Dev Complete</t>
        </is>
      </c>
      <c r="M37" s="8" t="n">
        <v>1</v>
      </c>
      <c r="N37" t="inlineStr">
        <is>
          <t>[QA 23-Sep-26 Suganth] DOCREQ auto-created for exactly the missing docs (REQ-0000028) and emailed; cancel works. BUT email is sent from avensys.dev@outlook.com with no Reply-To, so vendor replies go to the wrong mailbox. Server-side GET validate also raised a false DOCREQ (REQ-0000027).</t>
        </is>
      </c>
    </row>
    <row r="38" ht="22.5" customHeight="1">
      <c r="A38" s="158" t="n">
        <v>37</v>
      </c>
      <c r="B38" s="14" t="inlineStr">
        <is>
          <t>Phase 1</t>
        </is>
      </c>
      <c r="C38" s="14" t="inlineStr">
        <is>
          <t>Vendor Communication</t>
        </is>
      </c>
      <c r="D38" s="14" t="inlineStr">
        <is>
          <t>Vendor response correlation, replacement lineage and controlled reprocessing</t>
        </is>
      </c>
      <c r="E38" s="162" t="n">
        <v>46294</v>
      </c>
      <c r="F38" s="160" t="n">
        <v>46295</v>
      </c>
      <c r="G38" s="160" t="n">
        <v>46259</v>
      </c>
      <c r="H38" s="160" t="n">
        <v>46260</v>
      </c>
      <c r="I38" s="158" t="inlineStr">
        <is>
          <t>Sabrina</t>
        </is>
      </c>
      <c r="J38" s="158" t="inlineStr">
        <is>
          <t>Suganth</t>
        </is>
      </c>
      <c r="K38" s="229" t="inlineStr">
        <is>
          <t>Failed</t>
        </is>
      </c>
      <c r="L38" s="13" t="inlineStr">
        <is>
          <t>Dev Complete</t>
        </is>
      </c>
      <c r="M38" s="8" t="n">
        <v>1</v>
      </c>
      <c r="N38" t="inlineStr">
        <is>
          <t>[QA 23-Sep-26 Suganth] vendor reply correlated to REQ-0000028 and merged (FULFILLED, 3 docs RECEIVED), but auto re-validation after merge set the invoice to draft with 12/12 checks failed. First reply PDF (Faktur/Attendance/PO only) was classified as 'unclassified'.</t>
        </is>
      </c>
    </row>
    <row r="39" ht="24" customHeight="1">
      <c r="A39" s="158" t="n">
        <v>38</v>
      </c>
      <c r="B39" s="14" t="inlineStr">
        <is>
          <t>Phase 1</t>
        </is>
      </c>
      <c r="C39" s="14" t="inlineStr">
        <is>
          <t>Vendor Communication</t>
        </is>
      </c>
      <c r="D39" s="14" t="inlineStr">
        <is>
          <t>Invoice/supporting-document storage, metadata/version lineage and secure document access</t>
        </is>
      </c>
      <c r="E39" s="162" t="n">
        <v>46296</v>
      </c>
      <c r="F39" s="160" t="n">
        <v>46300</v>
      </c>
      <c r="G39" s="160" t="n">
        <v>46261</v>
      </c>
      <c r="H39" s="160" t="n">
        <v>46262</v>
      </c>
      <c r="I39" s="158" t="inlineStr">
        <is>
          <t>Sabrina</t>
        </is>
      </c>
      <c r="J39" s="158" t="inlineStr">
        <is>
          <t>Suganth</t>
        </is>
      </c>
      <c r="K39" s="228" t="inlineStr">
        <is>
          <t>Passed</t>
        </is>
      </c>
      <c r="L39" s="13" t="inlineStr">
        <is>
          <t>Dev Complete</t>
        </is>
      </c>
      <c r="M39" s="8" t="n">
        <v>1</v>
      </c>
      <c r="N39" t="inlineStr">
        <is>
          <t>[QA 23-Sep-26 Suganth] section PDFs stored per upload and served only with an authenticated session; supporting documents linked to the invoice.</t>
        </is>
      </c>
    </row>
    <row r="40" hidden="1" ht="14.25" customHeight="1">
      <c r="A40" s="201" t="n">
        <v>39</v>
      </c>
      <c r="B40" s="202" t="inlineStr">
        <is>
          <t>Phase 1</t>
        </is>
      </c>
      <c r="C40" s="202" t="inlineStr">
        <is>
          <t>SAP Integration</t>
        </is>
      </c>
      <c r="D40" s="202" t="inlineStr">
        <is>
          <t>SAP Data intake from EAPA DB</t>
        </is>
      </c>
      <c r="E40" s="203" t="n">
        <v>46286</v>
      </c>
      <c r="F40" s="204" t="n">
        <v>46307</v>
      </c>
      <c r="G40" s="201" t="inlineStr">
        <is>
          <t>—</t>
        </is>
      </c>
      <c r="H40" s="201" t="inlineStr">
        <is>
          <t>—</t>
        </is>
      </c>
      <c r="I40" s="201" t="inlineStr">
        <is>
          <t>Anas</t>
        </is>
      </c>
      <c r="J40" s="201" t="n"/>
      <c r="K40" s="201" t="n"/>
      <c r="L40" s="12" t="inlineStr">
        <is>
          <t>Not Started</t>
        </is>
      </c>
      <c r="M40" s="8" t="n">
        <v>0</v>
      </c>
    </row>
    <row r="41" hidden="1" ht="22.5" customHeight="1">
      <c r="A41" s="201" t="n">
        <v>40</v>
      </c>
      <c r="B41" s="202" t="inlineStr">
        <is>
          <t>Phase 1</t>
        </is>
      </c>
      <c r="C41" s="202" t="inlineStr">
        <is>
          <t>SAP Integration</t>
        </is>
      </c>
      <c r="D41" s="202" t="inlineStr">
        <is>
          <t xml:space="preserve">PO, Vendor, SES and Negative Vendor lise, GRN and related data export to CSV </t>
        </is>
      </c>
      <c r="E41" s="203" t="n">
        <v>46300</v>
      </c>
      <c r="F41" s="204" t="n">
        <v>46307</v>
      </c>
      <c r="G41" s="201" t="inlineStr">
        <is>
          <t>—</t>
        </is>
      </c>
      <c r="H41" s="201" t="inlineStr">
        <is>
          <t>—</t>
        </is>
      </c>
      <c r="I41" s="201" t="inlineStr">
        <is>
          <t>Anas</t>
        </is>
      </c>
      <c r="J41" s="201" t="n"/>
      <c r="K41" s="201" t="n"/>
      <c r="L41" s="12" t="inlineStr">
        <is>
          <t>Not Started</t>
        </is>
      </c>
      <c r="M41" s="8" t="n">
        <v>0</v>
      </c>
    </row>
    <row r="42" hidden="1" ht="22.5" customHeight="1">
      <c r="A42" s="201" t="n">
        <v>41</v>
      </c>
      <c r="B42" s="202" t="inlineStr">
        <is>
          <t>Phase 1</t>
        </is>
      </c>
      <c r="C42" s="202" t="inlineStr">
        <is>
          <t>SAP Integration</t>
        </is>
      </c>
      <c r="D42" s="202" t="inlineStr">
        <is>
          <t>Exported CSV by ABAP copy to Azure Blob (PO, vendor master, SES, etc.)</t>
        </is>
      </c>
      <c r="E42" s="203" t="n">
        <v>46300</v>
      </c>
      <c r="F42" s="204" t="n">
        <v>46307</v>
      </c>
      <c r="G42" s="201" t="inlineStr">
        <is>
          <t>—</t>
        </is>
      </c>
      <c r="H42" s="201" t="inlineStr">
        <is>
          <t>—</t>
        </is>
      </c>
      <c r="I42" s="201" t="inlineStr">
        <is>
          <t>Anas</t>
        </is>
      </c>
      <c r="J42" s="201" t="n"/>
      <c r="K42" s="201" t="n"/>
      <c r="L42" s="12" t="inlineStr">
        <is>
          <t>Not Started</t>
        </is>
      </c>
      <c r="M42" s="8" t="n">
        <v>0</v>
      </c>
    </row>
    <row r="43" hidden="1">
      <c r="A43" s="206" t="n">
        <v>42</v>
      </c>
      <c r="B43" s="207" t="inlineStr">
        <is>
          <t>Phase 1</t>
        </is>
      </c>
      <c r="C43" s="207" t="inlineStr">
        <is>
          <t>SAP Parking / RPA</t>
        </is>
      </c>
      <c r="D43" s="208" t="inlineStr">
        <is>
          <t>PAD/RPA pickup, claim, locking &amp; retry orchestration</t>
        </is>
      </c>
      <c r="E43" s="209" t="n">
        <v>46281</v>
      </c>
      <c r="F43" s="210" t="n">
        <v>46293</v>
      </c>
      <c r="G43" s="206" t="inlineStr">
        <is>
          <t>—</t>
        </is>
      </c>
      <c r="H43" s="206" t="inlineStr">
        <is>
          <t>—</t>
        </is>
      </c>
      <c r="I43" s="206" t="inlineStr">
        <is>
          <t>Natheera</t>
        </is>
      </c>
      <c r="J43" s="206" t="n"/>
      <c r="K43" s="206" t="n"/>
      <c r="L43" s="12" t="inlineStr">
        <is>
          <t>Not Started</t>
        </is>
      </c>
      <c r="M43" s="8" t="n">
        <v>0</v>
      </c>
    </row>
    <row r="44" hidden="1">
      <c r="A44" s="206" t="n">
        <v>43</v>
      </c>
      <c r="B44" s="207" t="inlineStr">
        <is>
          <t>Phase 1</t>
        </is>
      </c>
      <c r="C44" s="207" t="inlineStr">
        <is>
          <t>SAP Parking / RPA</t>
        </is>
      </c>
      <c r="D44" s="207" t="inlineStr">
        <is>
          <t>MIRO, FB60 and GOS parking/attachment automation</t>
        </is>
      </c>
      <c r="E44" s="209" t="n">
        <v>46281</v>
      </c>
      <c r="F44" s="210" t="n">
        <v>46293</v>
      </c>
      <c r="G44" s="206" t="inlineStr">
        <is>
          <t>—</t>
        </is>
      </c>
      <c r="H44" s="206" t="inlineStr">
        <is>
          <t>—</t>
        </is>
      </c>
      <c r="I44" s="206" t="inlineStr">
        <is>
          <t>Natheera</t>
        </is>
      </c>
      <c r="J44" s="206" t="n"/>
      <c r="K44" s="206" t="n"/>
      <c r="L44" s="12" t="inlineStr">
        <is>
          <t>Not Started</t>
        </is>
      </c>
      <c r="M44" s="8" t="n">
        <v>0</v>
      </c>
    </row>
    <row r="45" hidden="1" ht="24" customHeight="1">
      <c r="A45" s="206" t="n">
        <v>44</v>
      </c>
      <c r="B45" s="207" t="inlineStr">
        <is>
          <t>Phase 1</t>
        </is>
      </c>
      <c r="C45" s="207" t="inlineStr">
        <is>
          <t>SAP Parking / RPA</t>
        </is>
      </c>
      <c r="D45" s="207" t="inlineStr">
        <is>
          <t>SAP result writeback, lifecycle update, failed-item recovery and daily GRN/SES re-match</t>
        </is>
      </c>
      <c r="E45" s="209" t="n">
        <v>46281</v>
      </c>
      <c r="F45" s="210" t="n">
        <v>46293</v>
      </c>
      <c r="G45" s="206" t="inlineStr">
        <is>
          <t>—</t>
        </is>
      </c>
      <c r="H45" s="206" t="inlineStr">
        <is>
          <t>—</t>
        </is>
      </c>
      <c r="I45" s="206" t="inlineStr">
        <is>
          <t>Natheera</t>
        </is>
      </c>
      <c r="J45" s="206" t="n"/>
      <c r="K45" s="206" t="n"/>
      <c r="L45" s="12" t="inlineStr">
        <is>
          <t>Not Started</t>
        </is>
      </c>
      <c r="M45" s="8" t="n">
        <v>0</v>
      </c>
    </row>
    <row r="46" hidden="1" ht="34.5" customHeight="1">
      <c r="A46" s="158" t="n">
        <v>45</v>
      </c>
      <c r="B46" s="14" t="inlineStr">
        <is>
          <t>Phase 1</t>
        </is>
      </c>
      <c r="C46" s="14" t="inlineStr">
        <is>
          <t>Invoice Orchestration</t>
        </is>
      </c>
      <c r="D46" s="163" t="inlineStr">
        <is>
          <t>Create the invoice, invoice document and status history tables in the EAPA PostgreSQL database.</t>
        </is>
      </c>
      <c r="E46" s="162" t="n">
        <v>46281</v>
      </c>
      <c r="F46" s="160" t="n">
        <v>46281</v>
      </c>
      <c r="G46" s="196" t="n">
        <v>46281</v>
      </c>
      <c r="H46" s="196" t="n">
        <v>46281</v>
      </c>
      <c r="I46" s="158" t="inlineStr">
        <is>
          <t>Rahul</t>
        </is>
      </c>
      <c r="J46" s="158" t="inlineStr">
        <is>
          <t>Suganth</t>
        </is>
      </c>
      <c r="K46" s="229" t="inlineStr">
        <is>
          <t>Failed</t>
        </is>
      </c>
      <c r="L46" s="195" t="inlineStr">
        <is>
          <t>Dev Complete</t>
        </is>
      </c>
      <c r="M46" s="8" t="n">
        <v>1</v>
      </c>
      <c r="N46" t="inlineStr">
        <is>
          <t>[QA 23-Sep-26 Suganth] ESSA_INVOICE.CreatedDt stored ~11h behind actual time (timezone offset applied twice) - affects SLA start, dates and filters.</t>
        </is>
      </c>
    </row>
    <row r="47" ht="22.5" customHeight="1">
      <c r="A47" s="158" t="n">
        <v>46</v>
      </c>
      <c r="B47" s="14" t="inlineStr">
        <is>
          <t>Phase 1</t>
        </is>
      </c>
      <c r="C47" s="14" t="inlineStr">
        <is>
          <t>Invoice Orchestration</t>
        </is>
      </c>
      <c r="D47" s="163" t="inlineStr">
        <is>
          <t>Save each ingested invoice to the invoice table, with a duplicate check.</t>
        </is>
      </c>
      <c r="E47" s="162" t="n">
        <v>46281</v>
      </c>
      <c r="F47" s="160" t="n">
        <v>46282</v>
      </c>
      <c r="G47" s="196" t="n">
        <v>46281</v>
      </c>
      <c r="H47" s="200" t="n">
        <v>46282</v>
      </c>
      <c r="I47" s="158" t="inlineStr">
        <is>
          <t>Rahul, Sabrina</t>
        </is>
      </c>
      <c r="J47" s="158" t="inlineStr">
        <is>
          <t>Suganth</t>
        </is>
      </c>
      <c r="K47" s="229" t="inlineStr">
        <is>
          <t>Failed</t>
        </is>
      </c>
      <c r="L47" s="195" t="inlineStr">
        <is>
          <t>Dev Complete</t>
        </is>
      </c>
      <c r="M47" s="8" t="n">
        <v>1</v>
      </c>
      <c r="N47" t="inlineStr">
        <is>
          <t>[QA 23-Sep-26 Suganth] duplicate check disabled - same invoice number saved repeatedly (520 x5, 568 x18).</t>
        </is>
      </c>
    </row>
    <row r="48" ht="22.5" customHeight="1">
      <c r="A48" s="158" t="n">
        <v>47</v>
      </c>
      <c r="B48" s="14" t="inlineStr">
        <is>
          <t>Phase 1</t>
        </is>
      </c>
      <c r="C48" s="14" t="inlineStr">
        <is>
          <t>Invoice Orchestration</t>
        </is>
      </c>
      <c r="D48" s="163" t="inlineStr">
        <is>
          <t>Update the invoice status and save each change to the status history table.</t>
        </is>
      </c>
      <c r="E48" s="162" t="n">
        <v>46281</v>
      </c>
      <c r="F48" s="160" t="n">
        <v>46282</v>
      </c>
      <c r="G48" s="196" t="n">
        <v>46281</v>
      </c>
      <c r="H48" s="200" t="n">
        <v>46282</v>
      </c>
      <c r="I48" s="158" t="inlineStr">
        <is>
          <t>Rahul, Sabrina</t>
        </is>
      </c>
      <c r="J48" s="158" t="inlineStr">
        <is>
          <t>Suganth</t>
        </is>
      </c>
      <c r="K48" s="229" t="inlineStr">
        <is>
          <t>Failed</t>
        </is>
      </c>
      <c r="L48" s="195" t="inlineStr">
        <is>
          <t>Dev Complete</t>
        </is>
      </c>
      <c r="M48" s="8" t="n">
        <v>1</v>
      </c>
      <c r="N48" t="inlineStr">
        <is>
          <t>[QA 23-Sep-26 Suganth] new email invoice (901, incomplete package) set to 'validated' before any validation ran; after DOCREQ merge the status moved back to 'draft'.</t>
        </is>
      </c>
    </row>
    <row r="49" hidden="1" ht="22.5" customHeight="1">
      <c r="A49" s="158" t="n">
        <v>48</v>
      </c>
      <c r="B49" s="14" t="inlineStr">
        <is>
          <t>Phase 1</t>
        </is>
      </c>
      <c r="C49" s="14" t="inlineStr">
        <is>
          <t>Invoice Orchestration</t>
        </is>
      </c>
      <c r="D49" s="163" t="inlineStr">
        <is>
          <t>Create an API to get invoice details, and write unit tests.</t>
        </is>
      </c>
      <c r="E49" s="162" t="n">
        <v>46295</v>
      </c>
      <c r="F49" s="160" t="n">
        <v>46295</v>
      </c>
      <c r="G49" s="158" t="inlineStr">
        <is>
          <t>—</t>
        </is>
      </c>
      <c r="H49" s="158" t="inlineStr">
        <is>
          <t>—</t>
        </is>
      </c>
      <c r="I49" s="158" t="inlineStr">
        <is>
          <t>Rahul</t>
        </is>
      </c>
      <c r="J49" s="158" t="n"/>
      <c r="K49" s="158" t="n"/>
      <c r="L49" s="12" t="inlineStr">
        <is>
          <t>Not Started</t>
        </is>
      </c>
      <c r="M49" s="8" t="n">
        <v>0</v>
      </c>
    </row>
    <row r="50" ht="45" customHeight="1">
      <c r="A50" s="158" t="n">
        <v>49</v>
      </c>
      <c r="B50" s="14" t="inlineStr">
        <is>
          <t>Phase 1</t>
        </is>
      </c>
      <c r="C50" s="14" t="inlineStr">
        <is>
          <t>Invoice Orchestration</t>
        </is>
      </c>
      <c r="D50" s="163" t="inlineStr">
        <is>
          <t>Check the PO number exists in the SAP PO tables, mark the invoice as PO or Non-PO, find its category, and save to the invoice table.</t>
        </is>
      </c>
      <c r="E50" s="162" t="n">
        <v>46293</v>
      </c>
      <c r="F50" s="160" t="n">
        <v>46294</v>
      </c>
      <c r="G50" s="198" t="n">
        <v>46246</v>
      </c>
      <c r="H50" s="158" t="inlineStr">
        <is>
          <t>—</t>
        </is>
      </c>
      <c r="I50" s="158" t="inlineStr">
        <is>
          <t>Sabrina</t>
        </is>
      </c>
      <c r="J50" s="158" t="n"/>
      <c r="K50" s="158" t="n"/>
      <c r="L50" s="9" t="inlineStr">
        <is>
          <t>In Progress</t>
        </is>
      </c>
      <c r="M50" s="8" t="n">
        <v>0.5</v>
      </c>
      <c r="N50" s="163" t="inlineStr">
        <is>
          <t>Will need SAP data as well as instructions on how to categorise each PO/non-PO invoice.</t>
        </is>
      </c>
    </row>
    <row r="51" ht="34.5" customHeight="1">
      <c r="A51" s="158" t="n">
        <v>50</v>
      </c>
      <c r="B51" s="14" t="inlineStr">
        <is>
          <t>Phase 1</t>
        </is>
      </c>
      <c r="C51" s="14" t="inlineStr">
        <is>
          <t>Invoice Orchestration</t>
        </is>
      </c>
      <c r="D51" s="163" t="inlineStr">
        <is>
          <t>Once the invoice saved, trigger the validation from admin config. (orchastration)</t>
        </is>
      </c>
      <c r="E51" s="162" t="n">
        <v>46295</v>
      </c>
      <c r="F51" s="160" t="n">
        <v>46296</v>
      </c>
      <c r="G51" s="158" t="inlineStr">
        <is>
          <t>—</t>
        </is>
      </c>
      <c r="H51" s="158" t="inlineStr">
        <is>
          <t>—</t>
        </is>
      </c>
      <c r="I51" s="158" t="inlineStr">
        <is>
          <t>Sabrina</t>
        </is>
      </c>
      <c r="J51" s="158" t="n"/>
      <c r="K51" s="158" t="n"/>
      <c r="L51" s="12" t="inlineStr">
        <is>
          <t>Not Started</t>
        </is>
      </c>
      <c r="M51" s="8" t="n">
        <v>0</v>
      </c>
      <c r="N51" s="14" t="n"/>
    </row>
    <row r="52" ht="45" customHeight="1">
      <c r="A52" s="158" t="n">
        <v>51</v>
      </c>
      <c r="B52" s="14" t="inlineStr">
        <is>
          <t>Phase 1</t>
        </is>
      </c>
      <c r="C52" s="14" t="inlineStr">
        <is>
          <t>AI Extraction Engine</t>
        </is>
      </c>
      <c r="D52" s="14" t="inlineStr">
        <is>
          <t>Azure OpenAI secure connectivity and dynamic prompt / structured schema generation</t>
        </is>
      </c>
      <c r="E52" s="162" t="n">
        <v>46283</v>
      </c>
      <c r="F52" s="160" t="n">
        <v>46283</v>
      </c>
      <c r="G52" s="198" t="n">
        <v>46246</v>
      </c>
      <c r="H52" s="158" t="inlineStr">
        <is>
          <t>—</t>
        </is>
      </c>
      <c r="I52" s="158" t="inlineStr">
        <is>
          <t>Sabrina</t>
        </is>
      </c>
      <c r="J52" s="158" t="n"/>
      <c r="K52" s="158" t="n"/>
      <c r="L52" s="9" t="inlineStr">
        <is>
          <t>In Progress</t>
        </is>
      </c>
      <c r="M52" s="8" t="n">
        <v>0.8</v>
      </c>
      <c r="N52" s="14" t="inlineStr">
        <is>
          <t>Azure OpenAI is not available for us to connect with at the moment. We are using our own OpenAI account for now.</t>
        </is>
      </c>
    </row>
    <row r="53">
      <c r="A53" s="158" t="n">
        <v>52</v>
      </c>
      <c r="B53" s="14" t="inlineStr">
        <is>
          <t>Phase 1</t>
        </is>
      </c>
      <c r="C53" s="14" t="inlineStr">
        <is>
          <t>AI Extraction Engine</t>
        </is>
      </c>
      <c r="D53" s="14" t="inlineStr">
        <is>
          <t>Document extraction</t>
        </is>
      </c>
      <c r="E53" s="162" t="n">
        <v>46286</v>
      </c>
      <c r="F53" s="160" t="n">
        <v>46289</v>
      </c>
      <c r="G53" s="160" t="n">
        <v>46281</v>
      </c>
      <c r="H53" s="158" t="inlineStr">
        <is>
          <t>—</t>
        </is>
      </c>
      <c r="I53" s="158" t="inlineStr">
        <is>
          <t>Sabrina</t>
        </is>
      </c>
      <c r="J53" s="158" t="n"/>
      <c r="K53" s="158" t="n"/>
      <c r="L53" s="9" t="inlineStr">
        <is>
          <t>In Progress</t>
        </is>
      </c>
      <c r="M53" s="8" t="n">
        <v>0.2</v>
      </c>
      <c r="N53" s="163" t="n"/>
    </row>
    <row r="54" ht="20.25" customHeight="1">
      <c r="A54" s="158" t="n">
        <v>53</v>
      </c>
      <c r="B54" s="14" t="inlineStr">
        <is>
          <t>Phase 1</t>
        </is>
      </c>
      <c r="C54" s="14" t="inlineStr">
        <is>
          <t>Audit trail</t>
        </is>
      </c>
      <c r="D54" s="14" t="inlineStr">
        <is>
          <t>Audit trail</t>
        </is>
      </c>
      <c r="E54" s="162" t="n">
        <v>46290</v>
      </c>
      <c r="F54" s="160" t="n">
        <v>46290</v>
      </c>
      <c r="G54" s="160" t="n">
        <v>46275</v>
      </c>
      <c r="H54" s="160" t="n">
        <v>46281</v>
      </c>
      <c r="I54" s="158" t="inlineStr">
        <is>
          <t>Sabrina</t>
        </is>
      </c>
      <c r="J54" s="158" t="inlineStr">
        <is>
          <t>Suganth</t>
        </is>
      </c>
      <c r="K54" s="228" t="inlineStr">
        <is>
          <t>Passed</t>
        </is>
      </c>
      <c r="L54" s="13" t="inlineStr">
        <is>
          <t>Dev Complete</t>
        </is>
      </c>
      <c r="M54" s="8" t="n">
        <v>1</v>
      </c>
      <c r="N54" s="14" t="inlineStr">
        <is>
          <t>Completed for login and invoice processing.
[QA 23-Sep-26 Suganth] audit trail covers login/logout, intake, classify, extract, validate, DOCREQ issued/received; filters work. Gap: admin configuration changes (mappings, rules, SLA, templates) are not audited.</t>
        </is>
      </c>
    </row>
    <row r="55" hidden="1" ht="22.5" customHeight="1">
      <c r="A55" s="158" t="n">
        <v>54</v>
      </c>
      <c r="B55" s="14" t="inlineStr">
        <is>
          <t>Phase 1</t>
        </is>
      </c>
      <c r="C55" s="14" t="inlineStr">
        <is>
          <t>Validation &amp; Reconciliation</t>
        </is>
      </c>
      <c r="D55" s="14" t="inlineStr">
        <is>
          <t>Reusable deterministic rule framework and mandatory/conditional document completeness validation</t>
        </is>
      </c>
      <c r="E55" s="162" t="n">
        <v>46296</v>
      </c>
      <c r="F55" s="160" t="n">
        <v>46300</v>
      </c>
      <c r="G55" s="158" t="inlineStr">
        <is>
          <t>—</t>
        </is>
      </c>
      <c r="H55" s="158" t="inlineStr">
        <is>
          <t>—</t>
        </is>
      </c>
      <c r="I55" s="158" t="inlineStr">
        <is>
          <t>Rahul</t>
        </is>
      </c>
      <c r="J55" s="158" t="n"/>
      <c r="K55" s="158" t="n"/>
      <c r="L55" s="12" t="inlineStr">
        <is>
          <t>Not Started</t>
        </is>
      </c>
      <c r="M55" s="8" t="n">
        <v>0</v>
      </c>
      <c r="N55" s="14" t="n"/>
    </row>
    <row r="56" hidden="1" ht="22.5" customHeight="1">
      <c r="A56" s="158" t="n">
        <v>55</v>
      </c>
      <c r="B56" s="14" t="inlineStr">
        <is>
          <t>Phase 1</t>
        </is>
      </c>
      <c r="C56" s="14" t="inlineStr">
        <is>
          <t>Validation &amp; Reconciliation</t>
        </is>
      </c>
      <c r="D56" s="14" t="inlineStr">
        <is>
          <t>PO/GRN/SES matching, financial arithmetic and SES tolerance validation</t>
        </is>
      </c>
      <c r="E56" s="162" t="n">
        <v>46301</v>
      </c>
      <c r="F56" s="160" t="n">
        <v>46304</v>
      </c>
      <c r="G56" s="158" t="inlineStr">
        <is>
          <t>—</t>
        </is>
      </c>
      <c r="H56" s="158" t="inlineStr">
        <is>
          <t>—</t>
        </is>
      </c>
      <c r="I56" s="158" t="inlineStr">
        <is>
          <t>Rahul</t>
        </is>
      </c>
      <c r="J56" s="158" t="n"/>
      <c r="K56" s="158" t="n"/>
      <c r="L56" s="12" t="inlineStr">
        <is>
          <t>Not Started</t>
        </is>
      </c>
      <c r="M56" s="8" t="n">
        <v>0</v>
      </c>
    </row>
    <row r="57" hidden="1" ht="22.5" customHeight="1">
      <c r="A57" s="158" t="n">
        <v>56</v>
      </c>
      <c r="B57" s="14" t="inlineStr">
        <is>
          <t>Phase 1</t>
        </is>
      </c>
      <c r="C57" s="14" t="inlineStr">
        <is>
          <t>Validation &amp; Reconciliation</t>
        </is>
      </c>
      <c r="D57" s="14" t="inlineStr">
        <is>
          <t>Cross-document reconciliation, result aggregation, error catalogue and controlled revalidation</t>
        </is>
      </c>
      <c r="E57" s="162" t="n">
        <v>46307</v>
      </c>
      <c r="F57" s="160" t="n">
        <v>46308</v>
      </c>
      <c r="G57" s="158" t="inlineStr">
        <is>
          <t>—</t>
        </is>
      </c>
      <c r="H57" s="158" t="inlineStr">
        <is>
          <t>—</t>
        </is>
      </c>
      <c r="I57" s="158" t="inlineStr">
        <is>
          <t>Rahul</t>
        </is>
      </c>
      <c r="J57" s="158" t="n"/>
      <c r="K57" s="158" t="n"/>
      <c r="L57" s="12" t="inlineStr">
        <is>
          <t>Not Started</t>
        </is>
      </c>
      <c r="M57" s="8" t="n">
        <v>0</v>
      </c>
    </row>
    <row r="58" hidden="1" ht="22.5" customHeight="1">
      <c r="A58" s="158" t="n">
        <v>57</v>
      </c>
      <c r="B58" s="14" t="inlineStr">
        <is>
          <t>Phase 1</t>
        </is>
      </c>
      <c r="C58" s="14" t="inlineStr">
        <is>
          <t>Validation &amp; Reconciliation</t>
        </is>
      </c>
      <c r="D58" s="14" t="inlineStr">
        <is>
          <t>Material Domestic / Import base reconciliation — business rules across PO, GRN, invoice &amp; shipping references</t>
        </is>
      </c>
      <c r="E58" s="162" t="n">
        <v>46309</v>
      </c>
      <c r="F58" s="160" t="n">
        <v>46310</v>
      </c>
      <c r="G58" s="158" t="inlineStr">
        <is>
          <t>—</t>
        </is>
      </c>
      <c r="H58" s="158" t="inlineStr">
        <is>
          <t>—</t>
        </is>
      </c>
      <c r="I58" s="158" t="inlineStr">
        <is>
          <t>Rahul</t>
        </is>
      </c>
      <c r="J58" s="158" t="n"/>
      <c r="K58" s="158" t="n"/>
      <c r="L58" s="12" t="inlineStr">
        <is>
          <t>Not Started</t>
        </is>
      </c>
      <c r="M58" s="8" t="n">
        <v>0</v>
      </c>
    </row>
    <row r="59" ht="24" customHeight="1">
      <c r="A59" s="158" t="n">
        <v>58</v>
      </c>
      <c r="B59" s="14" t="inlineStr">
        <is>
          <t>Phase 1</t>
        </is>
      </c>
      <c r="C59" s="14" t="inlineStr">
        <is>
          <t>Validation &amp; Reconciliation</t>
        </is>
      </c>
      <c r="D59" s="14" t="inlineStr">
        <is>
          <t>Material Invocie -  Domestic / Import — extraction/config mapping &amp; test integration</t>
        </is>
      </c>
      <c r="E59" s="162" t="n">
        <v>46297</v>
      </c>
      <c r="F59" s="160" t="n">
        <v>46300</v>
      </c>
      <c r="G59" s="158" t="inlineStr">
        <is>
          <t>—</t>
        </is>
      </c>
      <c r="H59" s="158" t="inlineStr">
        <is>
          <t>—</t>
        </is>
      </c>
      <c r="I59" s="158" t="inlineStr">
        <is>
          <t>Sabrina</t>
        </is>
      </c>
      <c r="J59" s="158" t="n"/>
      <c r="K59" s="158" t="n"/>
      <c r="L59" s="12" t="inlineStr">
        <is>
          <t>Not Started</t>
        </is>
      </c>
      <c r="M59" s="8" t="n">
        <v>0</v>
      </c>
    </row>
    <row r="60" hidden="1" ht="22.5" customHeight="1">
      <c r="A60" s="158" t="n">
        <v>59</v>
      </c>
      <c r="B60" s="14" t="inlineStr">
        <is>
          <t>Phase 1</t>
        </is>
      </c>
      <c r="C60" s="14" t="inlineStr">
        <is>
          <t>Category Processing – Standard</t>
        </is>
      </c>
      <c r="D60" s="14" t="inlineStr">
        <is>
          <t>Travel Non-PO / HCIS / Consultant / Rental / Medical / Telecom / Hotel — non-PO validation &amp; reconciliation patterns (backend)</t>
        </is>
      </c>
      <c r="E60" s="162" t="n">
        <v>46311</v>
      </c>
      <c r="F60" s="160" t="n">
        <v>46314</v>
      </c>
      <c r="G60" s="158" t="inlineStr">
        <is>
          <t>—</t>
        </is>
      </c>
      <c r="H60" s="158" t="inlineStr">
        <is>
          <t>—</t>
        </is>
      </c>
      <c r="I60" s="158" t="inlineStr">
        <is>
          <t>Rahul</t>
        </is>
      </c>
      <c r="J60" s="158" t="n"/>
      <c r="K60" s="158" t="n"/>
      <c r="L60" s="12" t="inlineStr">
        <is>
          <t>Not Started</t>
        </is>
      </c>
      <c r="M60" s="8" t="n">
        <v>0</v>
      </c>
    </row>
    <row r="61" ht="24" customHeight="1">
      <c r="A61" s="158" t="n">
        <v>60</v>
      </c>
      <c r="B61" s="14" t="inlineStr">
        <is>
          <t>Phase 1</t>
        </is>
      </c>
      <c r="C61" s="14" t="inlineStr">
        <is>
          <t>Category Processing – Standard</t>
        </is>
      </c>
      <c r="D61" s="14" t="inlineStr">
        <is>
          <t>Travel Non-PO / HCIS / Consultant / Rental / Medical / Telecom / Hotel — extraction/config/UI integration</t>
        </is>
      </c>
      <c r="E61" s="162" t="n">
        <v>46301</v>
      </c>
      <c r="F61" s="160" t="n">
        <v>46302</v>
      </c>
      <c r="G61" s="158" t="inlineStr">
        <is>
          <t>—</t>
        </is>
      </c>
      <c r="H61" s="158" t="inlineStr">
        <is>
          <t>—</t>
        </is>
      </c>
      <c r="I61" s="158" t="inlineStr">
        <is>
          <t>Sabrina</t>
        </is>
      </c>
      <c r="J61" s="158" t="n"/>
      <c r="K61" s="158" t="n"/>
      <c r="L61" s="12" t="inlineStr">
        <is>
          <t>Not Started</t>
        </is>
      </c>
      <c r="M61" s="8" t="n">
        <v>0</v>
      </c>
    </row>
    <row r="62" hidden="1" ht="14.25" customHeight="1">
      <c r="A62" s="206" t="n">
        <v>61</v>
      </c>
      <c r="B62" s="207" t="inlineStr">
        <is>
          <t>Phase 1</t>
        </is>
      </c>
      <c r="C62" s="207" t="inlineStr">
        <is>
          <t>Vendor Controls</t>
        </is>
      </c>
      <c r="D62" s="207" t="inlineStr">
        <is>
          <t>Negative Vendor hard-block and vendor bank/master mismatch controls</t>
        </is>
      </c>
      <c r="E62" s="209" t="n">
        <v>46302</v>
      </c>
      <c r="F62" s="210" t="n">
        <v>46303</v>
      </c>
      <c r="G62" s="206" t="inlineStr">
        <is>
          <t>—</t>
        </is>
      </c>
      <c r="H62" s="206" t="inlineStr">
        <is>
          <t>—</t>
        </is>
      </c>
      <c r="I62" s="206" t="inlineStr">
        <is>
          <t>Natheera</t>
        </is>
      </c>
      <c r="J62" s="206" t="n"/>
      <c r="K62" s="206" t="n"/>
      <c r="L62" s="12" t="inlineStr">
        <is>
          <t>Not Started</t>
        </is>
      </c>
      <c r="M62" s="8" t="n">
        <v>0</v>
      </c>
    </row>
    <row r="63" ht="24" customHeight="1">
      <c r="A63" s="158" t="n">
        <v>62</v>
      </c>
      <c r="B63" s="14" t="inlineStr">
        <is>
          <t>Phase 1</t>
        </is>
      </c>
      <c r="C63" s="14" t="inlineStr">
        <is>
          <t>Exception Management</t>
        </is>
      </c>
      <c r="D63" s="14" t="inlineStr">
        <is>
          <t>Exception workbench UI — remarks, correction/resubmission &amp; re-entry screens</t>
        </is>
      </c>
      <c r="E63" s="162" t="n">
        <v>46303</v>
      </c>
      <c r="F63" s="160" t="n">
        <v>46308</v>
      </c>
      <c r="G63" s="158" t="inlineStr">
        <is>
          <t>—</t>
        </is>
      </c>
      <c r="H63" s="158" t="inlineStr">
        <is>
          <t>—</t>
        </is>
      </c>
      <c r="I63" s="158" t="inlineStr">
        <is>
          <t>Sabrina</t>
        </is>
      </c>
      <c r="J63" s="158" t="n"/>
      <c r="K63" s="158" t="n"/>
      <c r="L63" s="12" t="inlineStr">
        <is>
          <t>Not Started</t>
        </is>
      </c>
      <c r="M63" s="8" t="n">
        <v>0</v>
      </c>
    </row>
    <row r="64" hidden="1" ht="22.5" customHeight="1">
      <c r="A64" s="158" t="n">
        <v>63</v>
      </c>
      <c r="B64" s="14" t="inlineStr">
        <is>
          <t>Phase 1</t>
        </is>
      </c>
      <c r="C64" s="14" t="inlineStr">
        <is>
          <t>Exception Management</t>
        </is>
      </c>
      <c r="D64" s="14" t="inlineStr">
        <is>
          <t>Controlled override &amp; re-entry backend controls</t>
        </is>
      </c>
      <c r="E64" s="162" t="n">
        <v>46315</v>
      </c>
      <c r="F64" s="160" t="n">
        <v>46317</v>
      </c>
      <c r="G64" s="158" t="inlineStr">
        <is>
          <t>—</t>
        </is>
      </c>
      <c r="H64" s="158" t="inlineStr">
        <is>
          <t>—</t>
        </is>
      </c>
      <c r="I64" s="158" t="inlineStr">
        <is>
          <t>Rahul</t>
        </is>
      </c>
      <c r="J64" s="158" t="n"/>
      <c r="K64" s="158" t="n"/>
      <c r="L64" s="12" t="inlineStr">
        <is>
          <t>Not Started</t>
        </is>
      </c>
      <c r="M64" s="8" t="n">
        <v>0</v>
      </c>
    </row>
    <row r="65" hidden="1" ht="14.25" customHeight="1">
      <c r="A65" s="158" t="n">
        <v>64</v>
      </c>
      <c r="B65" s="14" t="inlineStr">
        <is>
          <t>Phase 1</t>
        </is>
      </c>
      <c r="C65" s="14" t="inlineStr">
        <is>
          <t>Approval Workflow</t>
        </is>
      </c>
      <c r="D65" s="14" t="inlineStr">
        <is>
          <t>Workflow instance/stage engine, AP review and DoA / WPC routing</t>
        </is>
      </c>
      <c r="E65" s="162" t="n">
        <v>46318</v>
      </c>
      <c r="F65" s="160" t="n">
        <v>46323</v>
      </c>
      <c r="G65" s="158" t="inlineStr">
        <is>
          <t>—</t>
        </is>
      </c>
      <c r="H65" s="158" t="inlineStr">
        <is>
          <t>—</t>
        </is>
      </c>
      <c r="I65" s="158" t="inlineStr">
        <is>
          <t>Rahul</t>
        </is>
      </c>
      <c r="J65" s="158" t="n"/>
      <c r="K65" s="158" t="n"/>
      <c r="L65" s="12" t="inlineStr">
        <is>
          <t>Not Started</t>
        </is>
      </c>
      <c r="M65" s="8" t="n">
        <v>0</v>
      </c>
    </row>
    <row r="66" hidden="1" ht="22.5" customHeight="1">
      <c r="A66" s="158" t="n">
        <v>65</v>
      </c>
      <c r="B66" s="14" t="inlineStr">
        <is>
          <t>Phase 1</t>
        </is>
      </c>
      <c r="C66" s="14" t="inlineStr">
        <is>
          <t>Approval Workflow</t>
        </is>
      </c>
      <c r="D66" s="14" t="inlineStr">
        <is>
          <t>Tax review, Microsoft Teams approve/reject/request-more-info and rejection/resubmission</t>
        </is>
      </c>
      <c r="E66" s="162" t="n">
        <v>46324</v>
      </c>
      <c r="F66" s="160" t="n">
        <v>46325</v>
      </c>
      <c r="G66" s="158" t="inlineStr">
        <is>
          <t>—</t>
        </is>
      </c>
      <c r="H66" s="158" t="inlineStr">
        <is>
          <t>—</t>
        </is>
      </c>
      <c r="I66" s="158" t="inlineStr">
        <is>
          <t>Rahul</t>
        </is>
      </c>
      <c r="J66" s="158" t="n"/>
      <c r="K66" s="158" t="n"/>
      <c r="L66" s="12" t="inlineStr">
        <is>
          <t>Not Started</t>
        </is>
      </c>
      <c r="M66" s="8" t="n">
        <v>0</v>
      </c>
    </row>
    <row r="67" hidden="1" ht="22.5" customHeight="1">
      <c r="A67" s="158" t="n">
        <v>66</v>
      </c>
      <c r="B67" s="14" t="inlineStr">
        <is>
          <t>Phase 1</t>
        </is>
      </c>
      <c r="C67" s="14" t="inlineStr">
        <is>
          <t>Approval Workflow</t>
        </is>
      </c>
      <c r="D67" s="14" t="inlineStr">
        <is>
          <t>SLA rule evaluation, due-date calculation and reminder scheduling</t>
        </is>
      </c>
      <c r="E67" s="162" t="n">
        <v>46272</v>
      </c>
      <c r="F67" s="160" t="n">
        <v>46275</v>
      </c>
      <c r="G67" s="200" t="n">
        <v>46272</v>
      </c>
      <c r="H67" s="200" t="n">
        <v>46275</v>
      </c>
      <c r="I67" s="158" t="inlineStr">
        <is>
          <t>Rahul</t>
        </is>
      </c>
      <c r="J67" s="158" t="inlineStr">
        <is>
          <t>Suganth</t>
        </is>
      </c>
      <c r="K67" s="229" t="inlineStr">
        <is>
          <t>Failed</t>
        </is>
      </c>
      <c r="L67" s="199" t="inlineStr">
        <is>
          <t>Dev Complete</t>
        </is>
      </c>
      <c r="M67" s="8" t="n">
        <v>1</v>
      </c>
      <c r="N67" t="inlineStr">
        <is>
          <t>[QA 23-Sep-26 Suganth] SLA marked BREACHED before due time (INV 902 started 06:35Z, due 07:35Z, breached 06:40Z; INV 520 breached 2 min after start); warning time computed before start time (8h warning on 1h SLA not capped); reminder configured +3 min sent at start time; duplicate SLA clock created for INV 901 after DOCREQ merge; 135 of 136 SLA instances BREACHED.</t>
        </is>
      </c>
    </row>
    <row r="68" hidden="1" ht="22.5" customHeight="1">
      <c r="A68" s="158" t="n">
        <v>67</v>
      </c>
      <c r="B68" s="14" t="inlineStr">
        <is>
          <t>Phase 1</t>
        </is>
      </c>
      <c r="C68" s="14" t="inlineStr">
        <is>
          <t>Approval Workflow</t>
        </is>
      </c>
      <c r="D68" s="14" t="inlineStr">
        <is>
          <t>Escalation/vendor-chase scheduling, email delivery, Teams/in-app delivery and email template configuration</t>
        </is>
      </c>
      <c r="E68" s="162" t="n">
        <v>46282</v>
      </c>
      <c r="F68" s="160" t="n">
        <v>46283</v>
      </c>
      <c r="G68" s="160" t="n">
        <v>46262</v>
      </c>
      <c r="H68" s="158" t="inlineStr">
        <is>
          <t>—</t>
        </is>
      </c>
      <c r="I68" s="158" t="inlineStr">
        <is>
          <t>Natheera</t>
        </is>
      </c>
      <c r="J68" s="158" t="n"/>
      <c r="K68" s="158" t="n"/>
      <c r="L68" s="9" t="inlineStr">
        <is>
          <t>In Progress</t>
        </is>
      </c>
      <c r="M68" s="8" t="n">
        <v>0.05</v>
      </c>
    </row>
    <row r="69" hidden="1" ht="33.75" customHeight="1">
      <c r="A69" s="158" t="n">
        <v>68</v>
      </c>
      <c r="B69" s="14" t="inlineStr">
        <is>
          <t>Phase 1</t>
        </is>
      </c>
      <c r="C69" s="14" t="inlineStr">
        <is>
          <t>User Interface / Dashboard</t>
        </is>
      </c>
      <c r="D69" s="14" t="inlineStr">
        <is>
          <t>Invoice search, filters, invoice detail and end-to-end transaction timeline</t>
        </is>
      </c>
      <c r="E69" s="160" t="n">
        <v>46262</v>
      </c>
      <c r="F69" s="160" t="n">
        <v>46262</v>
      </c>
      <c r="G69" s="160" t="n">
        <v>46262</v>
      </c>
      <c r="H69" s="158" t="inlineStr">
        <is>
          <t>—</t>
        </is>
      </c>
      <c r="I69" s="158" t="inlineStr">
        <is>
          <t>Khalid</t>
        </is>
      </c>
      <c r="J69" s="158" t="inlineStr">
        <is>
          <t>Suganth</t>
        </is>
      </c>
      <c r="K69" s="228" t="inlineStr">
        <is>
          <t>Passed</t>
        </is>
      </c>
      <c r="L69" s="217" t="inlineStr">
        <is>
          <t>Dev Complete</t>
        </is>
      </c>
      <c r="M69" s="8" t="n">
        <v>0.9</v>
      </c>
      <c r="N69" t="inlineStr">
        <is>
          <t>[QA 23-Sep-26 Suganth] invoice list search, vendor/PO type/category/stage filters, paging and detail page work. Note: FE calls missing APIs (/essa/invoices/me/my-work, /essa/dashboard, /essa/pos return 404).</t>
        </is>
      </c>
    </row>
    <row r="70" ht="34.5" customHeight="1">
      <c r="A70" s="158" t="n">
        <v>69</v>
      </c>
      <c r="B70" s="14" t="inlineStr">
        <is>
          <t>Phase 1</t>
        </is>
      </c>
      <c r="C70" s="14" t="inlineStr">
        <is>
          <t>HITL Review</t>
        </is>
      </c>
      <c r="D70" s="14" t="inlineStr">
        <is>
          <t>Build HITL review screen with side-by-side document preview and group queues (Material/Service/Site)</t>
        </is>
      </c>
      <c r="E70" s="162" t="n">
        <v>46282</v>
      </c>
      <c r="F70" s="160" t="n">
        <v>46286</v>
      </c>
      <c r="G70" s="158" t="inlineStr">
        <is>
          <t>—</t>
        </is>
      </c>
      <c r="H70" s="158" t="inlineStr">
        <is>
          <t>—</t>
        </is>
      </c>
      <c r="I70" s="158" t="inlineStr">
        <is>
          <t>Sabrina</t>
        </is>
      </c>
      <c r="J70" s="158" t="inlineStr">
        <is>
          <t>Suganth</t>
        </is>
      </c>
      <c r="K70" s="228" t="inlineStr">
        <is>
          <t>Passed</t>
        </is>
      </c>
      <c r="L70" s="217" t="inlineStr">
        <is>
          <t>Dev Complete</t>
        </is>
      </c>
      <c r="M70" s="8" t="n">
        <v>1</v>
      </c>
      <c r="N70" t="inlineStr">
        <is>
          <t>[QA 23-Sep-26 Suganth] HITL screen - side-by-side preview, document tabs, 12-point checklist, edit. Defects to fix: server GET validate fails all rules while UI POST shows 10/12; SES lookup sends inverted period; Berita Acara MH read as 8.1 vs 8,370 (real INV 520 PDF).</t>
        </is>
      </c>
    </row>
    <row r="71" hidden="1" ht="34.5" customHeight="1">
      <c r="A71" s="158" t="n">
        <v>70</v>
      </c>
      <c r="B71" s="14" t="inlineStr">
        <is>
          <t>Phase 1</t>
        </is>
      </c>
      <c r="C71" s="14" t="inlineStr">
        <is>
          <t>HITL Review</t>
        </is>
      </c>
      <c r="D71" s="14" t="inlineStr">
        <is>
          <t>Build HITL 10% sampling rule for straight-through PO invoices and mandatory review for Non-PO</t>
        </is>
      </c>
      <c r="E71" s="162" t="n">
        <v>46294</v>
      </c>
      <c r="F71" s="160" t="n">
        <v>46294</v>
      </c>
      <c r="G71" s="158" t="inlineStr">
        <is>
          <t>—</t>
        </is>
      </c>
      <c r="H71" s="158" t="inlineStr">
        <is>
          <t>—</t>
        </is>
      </c>
      <c r="I71" s="158" t="inlineStr">
        <is>
          <t>Pranay</t>
        </is>
      </c>
      <c r="J71" s="158" t="n"/>
      <c r="K71" s="158" t="n"/>
      <c r="L71" s="12" t="inlineStr">
        <is>
          <t>Not Started</t>
        </is>
      </c>
      <c r="M71" s="8" t="n">
        <v>0</v>
      </c>
    </row>
    <row r="72" hidden="1" ht="34.5" customHeight="1">
      <c r="A72" s="158" t="n">
        <v>71</v>
      </c>
      <c r="B72" s="14" t="inlineStr">
        <is>
          <t>Phase 1</t>
        </is>
      </c>
      <c r="C72" s="14" t="inlineStr">
        <is>
          <t>Master Data Screens</t>
        </is>
      </c>
      <c r="D72" s="14" t="inlineStr">
        <is>
          <t>Build PO master screen (header and line items, open qty/value, status) with search and filter</t>
        </is>
      </c>
      <c r="E72" s="162" t="n">
        <v>46287</v>
      </c>
      <c r="F72" s="160" t="n">
        <v>46288</v>
      </c>
      <c r="G72" s="158" t="inlineStr">
        <is>
          <t>—</t>
        </is>
      </c>
      <c r="H72" s="158" t="inlineStr">
        <is>
          <t>—</t>
        </is>
      </c>
      <c r="I72" s="158" t="inlineStr">
        <is>
          <t>Khalid</t>
        </is>
      </c>
      <c r="J72" s="158" t="n"/>
      <c r="K72" s="158" t="n"/>
      <c r="L72" s="12" t="inlineStr">
        <is>
          <t>Not Started</t>
        </is>
      </c>
      <c r="M72" s="8" t="n">
        <v>0</v>
      </c>
    </row>
    <row r="73" hidden="1" ht="34.5" customHeight="1">
      <c r="A73" s="158" t="n">
        <v>72</v>
      </c>
      <c r="B73" s="14" t="inlineStr">
        <is>
          <t>Phase 1</t>
        </is>
      </c>
      <c r="C73" s="14" t="inlineStr">
        <is>
          <t>Master Data Screens</t>
        </is>
      </c>
      <c r="D73" s="14" t="inlineStr">
        <is>
          <t>Build vendor master screen (code, name, NPWP, PKP status, payment terms, blocked status) with search</t>
        </is>
      </c>
      <c r="E73" s="162" t="n">
        <v>46289</v>
      </c>
      <c r="F73" s="160" t="n">
        <v>46289</v>
      </c>
      <c r="G73" s="158" t="inlineStr">
        <is>
          <t>—</t>
        </is>
      </c>
      <c r="H73" s="158" t="inlineStr">
        <is>
          <t>—</t>
        </is>
      </c>
      <c r="I73" s="158" t="inlineStr">
        <is>
          <t>Khalid</t>
        </is>
      </c>
      <c r="J73" s="158" t="n"/>
      <c r="K73" s="158" t="n"/>
      <c r="L73" s="12" t="inlineStr">
        <is>
          <t>Not Started</t>
        </is>
      </c>
      <c r="M73" s="8" t="n">
        <v>0</v>
      </c>
    </row>
    <row r="74" hidden="1" ht="22.5" customHeight="1">
      <c r="A74" s="158" t="n">
        <v>73</v>
      </c>
      <c r="B74" s="14" t="inlineStr">
        <is>
          <t>Phase 1</t>
        </is>
      </c>
      <c r="C74" s="14" t="inlineStr">
        <is>
          <t>Master Data Screens</t>
        </is>
      </c>
      <c r="D74" s="14" t="inlineStr">
        <is>
          <t>Build vendor bank detail screen with bank change history and mismatch alert log</t>
        </is>
      </c>
      <c r="E74" s="162" t="n">
        <v>46290</v>
      </c>
      <c r="F74" s="160" t="n">
        <v>46293</v>
      </c>
      <c r="G74" s="158" t="inlineStr">
        <is>
          <t>—</t>
        </is>
      </c>
      <c r="H74" s="158" t="inlineStr">
        <is>
          <t>—</t>
        </is>
      </c>
      <c r="I74" s="158" t="inlineStr">
        <is>
          <t>Khalid</t>
        </is>
      </c>
      <c r="J74" s="158" t="n"/>
      <c r="K74" s="158" t="n"/>
      <c r="L74" s="12" t="inlineStr">
        <is>
          <t>Not Started</t>
        </is>
      </c>
      <c r="M74" s="8" t="n">
        <v>0</v>
      </c>
    </row>
    <row r="75" hidden="1" ht="22.5" customHeight="1">
      <c r="A75" s="158" t="n">
        <v>74</v>
      </c>
      <c r="B75" s="14" t="inlineStr">
        <is>
          <t>Phase 1</t>
        </is>
      </c>
      <c r="C75" s="14" t="inlineStr">
        <is>
          <t>Master Data Screens</t>
        </is>
      </c>
      <c r="D75" s="14" t="inlineStr">
        <is>
          <t>Build GRN and SES view screens linked to PO</t>
        </is>
      </c>
      <c r="E75" s="162" t="n">
        <v>46294</v>
      </c>
      <c r="F75" s="160" t="n">
        <v>46295</v>
      </c>
      <c r="G75" s="158" t="inlineStr">
        <is>
          <t>—</t>
        </is>
      </c>
      <c r="H75" s="158" t="inlineStr">
        <is>
          <t>—</t>
        </is>
      </c>
      <c r="I75" s="158" t="inlineStr">
        <is>
          <t>Khalid</t>
        </is>
      </c>
      <c r="J75" s="158" t="n"/>
      <c r="K75" s="158" t="n"/>
      <c r="L75" s="12" t="inlineStr">
        <is>
          <t>Not Started</t>
        </is>
      </c>
      <c r="M75" s="8" t="n">
        <v>0</v>
      </c>
    </row>
    <row r="76" hidden="1" ht="22.5" customHeight="1">
      <c r="A76" s="158" t="n">
        <v>75</v>
      </c>
      <c r="B76" s="14" t="inlineStr">
        <is>
          <t>Phase 1</t>
        </is>
      </c>
      <c r="C76" s="14" t="inlineStr">
        <is>
          <t>Master Data Screens</t>
        </is>
      </c>
      <c r="D76" s="14" t="inlineStr">
        <is>
          <t>Build invoice payment status view (payment doc, date, clearing)</t>
        </is>
      </c>
      <c r="E76" s="162" t="n">
        <v>46296</v>
      </c>
      <c r="F76" s="160" t="n">
        <v>46296</v>
      </c>
      <c r="G76" s="158" t="inlineStr">
        <is>
          <t>—</t>
        </is>
      </c>
      <c r="H76" s="158" t="inlineStr">
        <is>
          <t>—</t>
        </is>
      </c>
      <c r="I76" s="158" t="inlineStr">
        <is>
          <t>Khalid</t>
        </is>
      </c>
      <c r="J76" s="158" t="n"/>
      <c r="K76" s="158" t="n"/>
      <c r="L76" s="12" t="inlineStr">
        <is>
          <t>Not Started</t>
        </is>
      </c>
      <c r="M76" s="8" t="n">
        <v>0</v>
      </c>
    </row>
    <row r="77" hidden="1" ht="22.5" customHeight="1">
      <c r="A77" s="158" t="n">
        <v>76</v>
      </c>
      <c r="B77" s="14" t="inlineStr">
        <is>
          <t>Phase 1</t>
        </is>
      </c>
      <c r="C77" s="14" t="inlineStr">
        <is>
          <t>Master Data Screens</t>
        </is>
      </c>
      <c r="D77" s="14" t="inlineStr">
        <is>
          <t>Build HCIS clearing journal view for Travel Non-PO</t>
        </is>
      </c>
      <c r="E77" s="162" t="n">
        <v>46297</v>
      </c>
      <c r="F77" s="160" t="n">
        <v>46297</v>
      </c>
      <c r="G77" s="158" t="inlineStr">
        <is>
          <t>—</t>
        </is>
      </c>
      <c r="H77" s="158" t="inlineStr">
        <is>
          <t>—</t>
        </is>
      </c>
      <c r="I77" s="158" t="inlineStr">
        <is>
          <t>Khalid</t>
        </is>
      </c>
      <c r="J77" s="158" t="n"/>
      <c r="K77" s="158" t="n"/>
      <c r="L77" s="12" t="inlineStr">
        <is>
          <t>Not Started</t>
        </is>
      </c>
      <c r="M77" s="8" t="n">
        <v>0</v>
      </c>
    </row>
    <row r="78" hidden="1" ht="34.5" customHeight="1">
      <c r="A78" s="201" t="n">
        <v>77</v>
      </c>
      <c r="B78" s="202" t="inlineStr">
        <is>
          <t>Phase 1</t>
        </is>
      </c>
      <c r="C78" s="202" t="inlineStr">
        <is>
          <t>Master Data Screens</t>
        </is>
      </c>
      <c r="D78" s="212" t="inlineStr">
        <is>
          <t>Update the Build SAP data sync status screen (last sync time, record count, failed/quarantined files)</t>
        </is>
      </c>
      <c r="E78" s="203" t="n">
        <v>46300</v>
      </c>
      <c r="F78" s="204" t="n">
        <v>46307</v>
      </c>
      <c r="G78" s="201" t="inlineStr">
        <is>
          <t>—</t>
        </is>
      </c>
      <c r="H78" s="201" t="inlineStr">
        <is>
          <t>—</t>
        </is>
      </c>
      <c r="I78" s="201" t="inlineStr">
        <is>
          <t>Anas</t>
        </is>
      </c>
      <c r="J78" s="201" t="n"/>
      <c r="K78" s="201" t="n"/>
      <c r="L78" s="12" t="inlineStr">
        <is>
          <t>Not Started</t>
        </is>
      </c>
      <c r="M78" s="8" t="n">
        <v>0</v>
      </c>
    </row>
    <row r="79" hidden="1" ht="22.5" customHeight="1">
      <c r="A79" s="158" t="n">
        <v>78</v>
      </c>
      <c r="B79" s="14" t="inlineStr">
        <is>
          <t>Phase 1</t>
        </is>
      </c>
      <c r="C79" s="14" t="inlineStr">
        <is>
          <t>Vendor Controls</t>
        </is>
      </c>
      <c r="D79" s="14" t="inlineStr">
        <is>
          <t>Build negative vendor list screen with manual flag/unflag, reason and history</t>
        </is>
      </c>
      <c r="E79" s="162" t="n">
        <v>46300</v>
      </c>
      <c r="F79" s="160" t="n">
        <v>46301</v>
      </c>
      <c r="G79" s="158" t="inlineStr">
        <is>
          <t>—</t>
        </is>
      </c>
      <c r="H79" s="158" t="inlineStr">
        <is>
          <t>—</t>
        </is>
      </c>
      <c r="I79" s="158" t="inlineStr">
        <is>
          <t>Khalid</t>
        </is>
      </c>
      <c r="J79" s="158" t="n"/>
      <c r="K79" s="158" t="n"/>
      <c r="L79" s="12" t="inlineStr">
        <is>
          <t>Not Started</t>
        </is>
      </c>
      <c r="M79" s="8" t="n">
        <v>0</v>
      </c>
    </row>
    <row r="80" hidden="1" ht="48" customHeight="1">
      <c r="A80" s="206" t="n">
        <v>79</v>
      </c>
      <c r="B80" s="207" t="inlineStr">
        <is>
          <t>Phase 1</t>
        </is>
      </c>
      <c r="C80" s="207" t="inlineStr">
        <is>
          <t>Vendor Controls</t>
        </is>
      </c>
      <c r="D80" s="211" t="inlineStr">
        <is>
          <t>Ingest negative listing Excel from Tax Team, auto-flag vendors/invoices and post VAT-on-hold entries
All entries would be posted for Invoices, VAT ON-HOLD, to be passed as an indictaor in Invoice posting</t>
        </is>
      </c>
      <c r="E80" s="209" t="n">
        <v>46281</v>
      </c>
      <c r="F80" s="210" t="n">
        <v>46293</v>
      </c>
      <c r="G80" s="206" t="inlineStr">
        <is>
          <t>—</t>
        </is>
      </c>
      <c r="H80" s="206" t="inlineStr">
        <is>
          <t>—</t>
        </is>
      </c>
      <c r="I80" s="206" t="inlineStr">
        <is>
          <t>Natheera</t>
        </is>
      </c>
      <c r="J80" s="206" t="n"/>
      <c r="K80" s="206" t="n"/>
      <c r="L80" s="12" t="inlineStr">
        <is>
          <t>Not Started</t>
        </is>
      </c>
      <c r="M80" s="8" t="n">
        <v>0</v>
      </c>
    </row>
    <row r="81" hidden="1" ht="22.5" customHeight="1">
      <c r="A81" s="158" t="n">
        <v>80</v>
      </c>
      <c r="B81" s="14" t="inlineStr">
        <is>
          <t>Phase 1</t>
        </is>
      </c>
      <c r="C81" s="14" t="inlineStr">
        <is>
          <t>Vendor Controls</t>
        </is>
      </c>
      <c r="D81" s="14" t="inlineStr">
        <is>
          <t>Build vendor enable/disable for AP automation, with history</t>
        </is>
      </c>
      <c r="E81" s="162" t="n">
        <v>46302</v>
      </c>
      <c r="F81" s="160" t="n">
        <v>46302</v>
      </c>
      <c r="G81" s="158" t="inlineStr">
        <is>
          <t>—</t>
        </is>
      </c>
      <c r="H81" s="158" t="inlineStr">
        <is>
          <t>—</t>
        </is>
      </c>
      <c r="I81" s="158" t="inlineStr">
        <is>
          <t>Khalid</t>
        </is>
      </c>
      <c r="J81" s="158" t="n"/>
      <c r="K81" s="158" t="n"/>
      <c r="L81" s="12" t="inlineStr">
        <is>
          <t>Not Started</t>
        </is>
      </c>
      <c r="M81" s="8" t="n">
        <v>0</v>
      </c>
    </row>
    <row r="82">
      <c r="A82" s="158" t="n">
        <v>81</v>
      </c>
      <c r="B82" s="14" t="inlineStr">
        <is>
          <t>Phase 1</t>
        </is>
      </c>
      <c r="C82" s="14" t="inlineStr">
        <is>
          <t>Admin &amp; Configuration</t>
        </is>
      </c>
      <c r="D82" s="14" t="inlineStr">
        <is>
          <t>Build configuration draft/approve/publish versioning</t>
        </is>
      </c>
      <c r="E82" s="162" t="n">
        <v>46309</v>
      </c>
      <c r="F82" s="160" t="n">
        <v>46311</v>
      </c>
      <c r="G82" s="158" t="inlineStr">
        <is>
          <t>—</t>
        </is>
      </c>
      <c r="H82" s="158" t="inlineStr">
        <is>
          <t>—</t>
        </is>
      </c>
      <c r="I82" s="158" t="inlineStr">
        <is>
          <t>Sabrina</t>
        </is>
      </c>
      <c r="J82" s="158" t="n"/>
      <c r="K82" s="158" t="n"/>
      <c r="L82" s="12" t="inlineStr">
        <is>
          <t>Not Started</t>
        </is>
      </c>
      <c r="M82" s="8" t="n">
        <v>0</v>
      </c>
    </row>
    <row r="83" hidden="1" ht="22.5" customHeight="1">
      <c r="A83" s="158" t="n">
        <v>82</v>
      </c>
      <c r="B83" s="14" t="inlineStr">
        <is>
          <t>Phase 1</t>
        </is>
      </c>
      <c r="C83" s="14" t="inlineStr">
        <is>
          <t>Admin &amp; Configuration</t>
        </is>
      </c>
      <c r="D83" s="14" t="inlineStr">
        <is>
          <t>Build WHT / tax code matrix screen</t>
        </is>
      </c>
      <c r="E83" s="162" t="n">
        <v>46303</v>
      </c>
      <c r="F83" s="160" t="n">
        <v>46304</v>
      </c>
      <c r="G83" s="158" t="inlineStr">
        <is>
          <t>—</t>
        </is>
      </c>
      <c r="H83" s="158" t="inlineStr">
        <is>
          <t>—</t>
        </is>
      </c>
      <c r="I83" s="158" t="inlineStr">
        <is>
          <t>Khalid</t>
        </is>
      </c>
      <c r="J83" s="158" t="n"/>
      <c r="K83" s="158" t="n"/>
      <c r="L83" s="12" t="inlineStr">
        <is>
          <t>Not Started</t>
        </is>
      </c>
      <c r="M83" s="8" t="n">
        <v>0</v>
      </c>
    </row>
    <row r="84" hidden="1" ht="22.5" customHeight="1">
      <c r="A84" s="158" t="n">
        <v>83</v>
      </c>
      <c r="B84" s="14" t="inlineStr">
        <is>
          <t>Phase 1</t>
        </is>
      </c>
      <c r="C84" s="14" t="inlineStr">
        <is>
          <t>Admin &amp; Configuration</t>
        </is>
      </c>
      <c r="D84" s="14" t="inlineStr">
        <is>
          <t>Build DoA matrix screen</t>
        </is>
      </c>
      <c r="E84" s="162" t="n">
        <v>46307</v>
      </c>
      <c r="F84" s="160" t="n">
        <v>46308</v>
      </c>
      <c r="G84" s="158" t="inlineStr">
        <is>
          <t>—</t>
        </is>
      </c>
      <c r="H84" s="158" t="inlineStr">
        <is>
          <t>—</t>
        </is>
      </c>
      <c r="I84" s="158" t="inlineStr">
        <is>
          <t>Khalid</t>
        </is>
      </c>
      <c r="J84" s="158" t="n"/>
      <c r="K84" s="158" t="n"/>
      <c r="L84" s="12" t="inlineStr">
        <is>
          <t>Not Started</t>
        </is>
      </c>
      <c r="M84" s="8" t="n">
        <v>0</v>
      </c>
    </row>
    <row r="85" hidden="1" ht="22.5" customHeight="1">
      <c r="A85" s="158" t="n">
        <v>84</v>
      </c>
      <c r="B85" s="14" t="inlineStr">
        <is>
          <t>Phase 1</t>
        </is>
      </c>
      <c r="C85" s="14" t="inlineStr">
        <is>
          <t>Admin &amp; Configuration</t>
        </is>
      </c>
      <c r="D85" s="14" t="inlineStr">
        <is>
          <t>Build Internal Order (IO) matrix screen</t>
        </is>
      </c>
      <c r="E85" s="162" t="n">
        <v>46309</v>
      </c>
      <c r="F85" s="160" t="n">
        <v>46309</v>
      </c>
      <c r="G85" s="158" t="inlineStr">
        <is>
          <t>—</t>
        </is>
      </c>
      <c r="H85" s="158" t="inlineStr">
        <is>
          <t>—</t>
        </is>
      </c>
      <c r="I85" s="158" t="inlineStr">
        <is>
          <t>Khalid</t>
        </is>
      </c>
      <c r="J85" s="158" t="n"/>
      <c r="K85" s="158" t="n"/>
      <c r="L85" s="12" t="inlineStr">
        <is>
          <t>Not Started</t>
        </is>
      </c>
      <c r="M85" s="8" t="n">
        <v>0</v>
      </c>
    </row>
    <row r="86" hidden="1" ht="22.5" customHeight="1">
      <c r="A86" s="158" t="n">
        <v>85</v>
      </c>
      <c r="B86" s="14" t="inlineStr">
        <is>
          <t>Phase 1</t>
        </is>
      </c>
      <c r="C86" s="14" t="inlineStr">
        <is>
          <t>Admin &amp; Configuration</t>
        </is>
      </c>
      <c r="D86" s="14" t="inlineStr">
        <is>
          <t>Build prohibited wording list screen</t>
        </is>
      </c>
      <c r="E86" s="162" t="n">
        <v>46295</v>
      </c>
      <c r="F86" s="160" t="n">
        <v>46295</v>
      </c>
      <c r="G86" s="158" t="inlineStr">
        <is>
          <t>—</t>
        </is>
      </c>
      <c r="H86" s="158" t="inlineStr">
        <is>
          <t>—</t>
        </is>
      </c>
      <c r="I86" s="158" t="inlineStr">
        <is>
          <t>Pranay</t>
        </is>
      </c>
      <c r="J86" s="158" t="n"/>
      <c r="K86" s="158" t="n"/>
      <c r="L86" s="12" t="inlineStr">
        <is>
          <t>Not Started</t>
        </is>
      </c>
      <c r="M86" s="8" t="n">
        <v>0</v>
      </c>
    </row>
    <row r="87" hidden="1" ht="22.5" customHeight="1">
      <c r="A87" s="158" t="n">
        <v>86</v>
      </c>
      <c r="B87" s="14" t="inlineStr">
        <is>
          <t>Phase 1</t>
        </is>
      </c>
      <c r="C87" s="14" t="inlineStr">
        <is>
          <t>Admin &amp; Configuration</t>
        </is>
      </c>
      <c r="D87" s="14" t="inlineStr">
        <is>
          <t>Build SAP narration rules screen</t>
        </is>
      </c>
      <c r="E87" s="162" t="n">
        <v>46296</v>
      </c>
      <c r="F87" s="160" t="n">
        <v>46296</v>
      </c>
      <c r="G87" s="158" t="inlineStr">
        <is>
          <t>—</t>
        </is>
      </c>
      <c r="H87" s="158" t="inlineStr">
        <is>
          <t>—</t>
        </is>
      </c>
      <c r="I87" s="158" t="inlineStr">
        <is>
          <t>Pranay</t>
        </is>
      </c>
      <c r="J87" s="158" t="n"/>
      <c r="K87" s="158" t="n"/>
      <c r="L87" s="12" t="inlineStr">
        <is>
          <t>Not Started</t>
        </is>
      </c>
      <c r="M87" s="8" t="n">
        <v>0</v>
      </c>
    </row>
    <row r="88" hidden="1" ht="22.5" customHeight="1">
      <c r="A88" s="201" t="n">
        <v>87</v>
      </c>
      <c r="B88" s="202" t="inlineStr">
        <is>
          <t>Phase 1</t>
        </is>
      </c>
      <c r="C88" s="202" t="inlineStr">
        <is>
          <t>SAP Integration</t>
        </is>
      </c>
      <c r="D88" s="202" t="inlineStr">
        <is>
          <t>Migrate open POs from SAP transaction history</t>
        </is>
      </c>
      <c r="E88" s="203" t="n">
        <v>46300</v>
      </c>
      <c r="F88" s="204" t="n">
        <v>46307</v>
      </c>
      <c r="G88" s="201" t="inlineStr">
        <is>
          <t>—</t>
        </is>
      </c>
      <c r="H88" s="201" t="inlineStr">
        <is>
          <t>—</t>
        </is>
      </c>
      <c r="I88" s="201" t="inlineStr">
        <is>
          <t>Anas</t>
        </is>
      </c>
      <c r="J88" s="201" t="n"/>
      <c r="K88" s="201" t="n"/>
      <c r="L88" s="12" t="inlineStr">
        <is>
          <t>Not Started</t>
        </is>
      </c>
      <c r="M88" s="8" t="n">
        <v>0</v>
      </c>
    </row>
    <row r="89" ht="24" customHeight="1">
      <c r="A89" s="158" t="n">
        <v>89</v>
      </c>
      <c r="B89" s="14" t="inlineStr">
        <is>
          <t>Phase 1</t>
        </is>
      </c>
      <c r="C89" s="14" t="inlineStr">
        <is>
          <t>Admin &amp; Configuration</t>
        </is>
      </c>
      <c r="D89" s="163" t="inlineStr">
        <is>
          <t>Configure all 23 invoice categories in Admin (document checklist, fields, prompts, rules)</t>
        </is>
      </c>
      <c r="E89" s="162" t="n">
        <v>46314</v>
      </c>
      <c r="F89" s="160" t="n">
        <v>46316</v>
      </c>
      <c r="G89" s="158" t="inlineStr">
        <is>
          <t>—</t>
        </is>
      </c>
      <c r="H89" s="158" t="inlineStr">
        <is>
          <t>—</t>
        </is>
      </c>
      <c r="I89" s="158" t="inlineStr">
        <is>
          <t>Sabrina</t>
        </is>
      </c>
      <c r="J89" s="158" t="n"/>
      <c r="K89" s="158" t="n"/>
      <c r="L89" s="10" t="inlineStr">
        <is>
          <t>Awaiting ESSA Input</t>
        </is>
      </c>
      <c r="M89" s="8" t="n">
        <v>0</v>
      </c>
    </row>
    <row r="90" hidden="1" ht="22.5" customHeight="1">
      <c r="A90" s="158" t="n">
        <v>90</v>
      </c>
      <c r="B90" s="14" t="inlineStr">
        <is>
          <t>Phase 1</t>
        </is>
      </c>
      <c r="C90" s="14" t="inlineStr">
        <is>
          <t>DevOps &amp; Environment</t>
        </is>
      </c>
      <c r="D90" s="163" t="inlineStr">
        <is>
          <t>Set up CI/CD pipeline for DEV, UAT and PROD</t>
        </is>
      </c>
      <c r="E90" s="162" t="n">
        <v>46301</v>
      </c>
      <c r="F90" s="160" t="n">
        <v>46303</v>
      </c>
      <c r="G90" s="158" t="inlineStr">
        <is>
          <t>—</t>
        </is>
      </c>
      <c r="H90" s="158" t="inlineStr">
        <is>
          <t>—</t>
        </is>
      </c>
      <c r="I90" s="158" t="inlineStr">
        <is>
          <t>Pranay</t>
        </is>
      </c>
      <c r="J90" s="158" t="n"/>
      <c r="K90" s="158" t="n"/>
      <c r="L90" s="10" t="inlineStr">
        <is>
          <t>Not Started</t>
        </is>
      </c>
      <c r="M90" s="8" t="n">
        <v>0</v>
      </c>
    </row>
    <row r="91" hidden="1" ht="34.5" customHeight="1">
      <c r="A91" s="158" t="n">
        <v>91</v>
      </c>
      <c r="B91" s="14" t="inlineStr">
        <is>
          <t>Phase 1</t>
        </is>
      </c>
      <c r="C91" s="14" t="inlineStr">
        <is>
          <t>Security &amp; API Controls</t>
        </is>
      </c>
      <c r="D91" s="163" t="inlineStr">
        <is>
          <t>Confirm and document data privacy (UU PDP) compliance: Azure region, OpenAI no retention, biometric retention</t>
        </is>
      </c>
      <c r="E91" s="162" t="n">
        <v>46304</v>
      </c>
      <c r="F91" s="160" t="n">
        <v>46304</v>
      </c>
      <c r="G91" s="158" t="inlineStr">
        <is>
          <t>—</t>
        </is>
      </c>
      <c r="H91" s="158" t="inlineStr">
        <is>
          <t>—</t>
        </is>
      </c>
      <c r="I91" s="158" t="inlineStr">
        <is>
          <t>Pranay</t>
        </is>
      </c>
      <c r="J91" s="158" t="n"/>
      <c r="K91" s="158" t="n"/>
      <c r="L91" s="10" t="inlineStr">
        <is>
          <t>Not Started</t>
        </is>
      </c>
      <c r="M91" s="8" t="n">
        <v>0</v>
      </c>
    </row>
    <row r="92" hidden="1" ht="22.5" customHeight="1">
      <c r="A92" s="158" t="n">
        <v>92</v>
      </c>
      <c r="B92" s="164" t="inlineStr">
        <is>
          <t>Phase 1</t>
        </is>
      </c>
      <c r="C92" s="14" t="inlineStr">
        <is>
          <t>Phase 1 Consolidated E2E &amp; Regression</t>
        </is>
      </c>
      <c r="D92" s="165" t="inlineStr">
        <is>
          <t>Phase 1 end-to-end regression for all invoice types, with bug fixes and retest</t>
        </is>
      </c>
      <c r="E92" s="166" t="n">
        <v>46328</v>
      </c>
      <c r="F92" s="167" t="n">
        <v>46329</v>
      </c>
      <c r="G92" s="168" t="inlineStr">
        <is>
          <t>—</t>
        </is>
      </c>
      <c r="H92" s="168" t="inlineStr">
        <is>
          <t>—</t>
        </is>
      </c>
      <c r="I92" s="168" t="inlineStr">
        <is>
          <t>Team</t>
        </is>
      </c>
      <c r="J92" s="168" t="n"/>
      <c r="K92" s="168" t="n"/>
      <c r="L92" s="10" t="inlineStr">
        <is>
          <t>Not Started</t>
        </is>
      </c>
      <c r="M92" s="15" t="n">
        <v>0</v>
      </c>
    </row>
    <row r="93" hidden="1" ht="22.5" customHeight="1">
      <c r="A93" s="158" t="n">
        <v>93</v>
      </c>
      <c r="B93" s="164" t="inlineStr">
        <is>
          <t>Phase 1</t>
        </is>
      </c>
      <c r="C93" s="14" t="inlineStr">
        <is>
          <t>Invoice Type Functional / Scenario Testing</t>
        </is>
      </c>
      <c r="D93" s="164" t="inlineStr">
        <is>
          <t>Test Material Domestic invoice flow</t>
        </is>
      </c>
      <c r="E93" s="169" t="n">
        <v>46314</v>
      </c>
      <c r="F93" s="170" t="n">
        <v>46314</v>
      </c>
      <c r="G93" s="171" t="inlineStr">
        <is>
          <t>—</t>
        </is>
      </c>
      <c r="H93" s="171" t="inlineStr">
        <is>
          <t>—</t>
        </is>
      </c>
      <c r="I93" s="171" t="inlineStr">
        <is>
          <t>Team</t>
        </is>
      </c>
      <c r="J93" s="171" t="n"/>
      <c r="K93" s="171" t="n"/>
      <c r="L93" s="10" t="inlineStr">
        <is>
          <t>Not Started</t>
        </is>
      </c>
      <c r="M93" s="16" t="n">
        <v>0</v>
      </c>
    </row>
    <row r="94" hidden="1" ht="22.5" customHeight="1">
      <c r="A94" s="158" t="n">
        <v>94</v>
      </c>
      <c r="B94" s="164" t="inlineStr">
        <is>
          <t>Phase 1</t>
        </is>
      </c>
      <c r="C94" s="14" t="inlineStr">
        <is>
          <t>Invoice Type Functional / Scenario Testing</t>
        </is>
      </c>
      <c r="D94" s="164" t="inlineStr">
        <is>
          <t>Test Material Import invoice flow</t>
        </is>
      </c>
      <c r="E94" s="169" t="n">
        <v>46314</v>
      </c>
      <c r="F94" s="170" t="n">
        <v>46314</v>
      </c>
      <c r="G94" s="171" t="inlineStr">
        <is>
          <t>—</t>
        </is>
      </c>
      <c r="H94" s="171" t="inlineStr">
        <is>
          <t>—</t>
        </is>
      </c>
      <c r="I94" s="171" t="inlineStr">
        <is>
          <t>Team</t>
        </is>
      </c>
      <c r="J94" s="171" t="n"/>
      <c r="K94" s="171" t="n"/>
      <c r="L94" s="10" t="inlineStr">
        <is>
          <t>Not Started</t>
        </is>
      </c>
      <c r="M94" s="16" t="n">
        <v>0</v>
      </c>
    </row>
    <row r="95" hidden="1" ht="22.5" customHeight="1">
      <c r="A95" s="158" t="n">
        <v>95</v>
      </c>
      <c r="B95" s="164" t="inlineStr">
        <is>
          <t>Phase 1</t>
        </is>
      </c>
      <c r="C95" s="14" t="inlineStr">
        <is>
          <t>Invoice Type Functional / Scenario Testing</t>
        </is>
      </c>
      <c r="D95" s="164" t="inlineStr">
        <is>
          <t>Test Rental Equipment invoice flow</t>
        </is>
      </c>
      <c r="E95" s="169" t="n">
        <v>46315</v>
      </c>
      <c r="F95" s="170" t="n">
        <v>46315</v>
      </c>
      <c r="G95" s="171" t="inlineStr">
        <is>
          <t>—</t>
        </is>
      </c>
      <c r="H95" s="171" t="inlineStr">
        <is>
          <t>—</t>
        </is>
      </c>
      <c r="I95" s="171" t="inlineStr">
        <is>
          <t>Team</t>
        </is>
      </c>
      <c r="J95" s="171" t="n"/>
      <c r="K95" s="171" t="n"/>
      <c r="L95" s="10" t="inlineStr">
        <is>
          <t>Not Started</t>
        </is>
      </c>
      <c r="M95" s="16" t="n">
        <v>0</v>
      </c>
    </row>
    <row r="96" hidden="1" ht="22.5" customHeight="1">
      <c r="A96" s="158" t="n">
        <v>96</v>
      </c>
      <c r="B96" s="164" t="inlineStr">
        <is>
          <t>Phase 1</t>
        </is>
      </c>
      <c r="C96" s="14" t="inlineStr">
        <is>
          <t>Invoice Type Functional / Scenario Testing</t>
        </is>
      </c>
      <c r="D96" s="164" t="inlineStr">
        <is>
          <t>Test Subscription invoice flow</t>
        </is>
      </c>
      <c r="E96" s="169" t="n">
        <v>46315</v>
      </c>
      <c r="F96" s="170" t="n">
        <v>46315</v>
      </c>
      <c r="G96" s="171" t="inlineStr">
        <is>
          <t>—</t>
        </is>
      </c>
      <c r="H96" s="171" t="inlineStr">
        <is>
          <t>—</t>
        </is>
      </c>
      <c r="I96" s="171" t="inlineStr">
        <is>
          <t>Team</t>
        </is>
      </c>
      <c r="J96" s="171" t="n"/>
      <c r="K96" s="171" t="n"/>
      <c r="L96" s="10" t="inlineStr">
        <is>
          <t>Not Started</t>
        </is>
      </c>
      <c r="M96" s="16" t="n">
        <v>0</v>
      </c>
    </row>
    <row r="97" hidden="1" ht="22.5" customHeight="1">
      <c r="A97" s="158" t="n">
        <v>97</v>
      </c>
      <c r="B97" s="164" t="inlineStr">
        <is>
          <t>Phase 1</t>
        </is>
      </c>
      <c r="C97" s="14" t="inlineStr">
        <is>
          <t>Invoice Type Functional / Scenario Testing</t>
        </is>
      </c>
      <c r="D97" s="164" t="inlineStr">
        <is>
          <t>Test Travel Non-PO (HCIS clearing) invoice flow</t>
        </is>
      </c>
      <c r="E97" s="169" t="n">
        <v>46316</v>
      </c>
      <c r="F97" s="170" t="n">
        <v>46316</v>
      </c>
      <c r="G97" s="171" t="inlineStr">
        <is>
          <t>—</t>
        </is>
      </c>
      <c r="H97" s="171" t="inlineStr">
        <is>
          <t>—</t>
        </is>
      </c>
      <c r="I97" s="171" t="inlineStr">
        <is>
          <t>Team</t>
        </is>
      </c>
      <c r="J97" s="171" t="n"/>
      <c r="K97" s="171" t="n"/>
      <c r="L97" s="10" t="inlineStr">
        <is>
          <t>Not Started</t>
        </is>
      </c>
      <c r="M97" s="16" t="n">
        <v>0</v>
      </c>
    </row>
    <row r="98" hidden="1" ht="22.5" customHeight="1">
      <c r="A98" s="158" t="n">
        <v>98</v>
      </c>
      <c r="B98" s="164" t="inlineStr">
        <is>
          <t>Phase 1</t>
        </is>
      </c>
      <c r="C98" s="14" t="inlineStr">
        <is>
          <t>Invoice Type Functional / Scenario Testing</t>
        </is>
      </c>
      <c r="D98" s="164" t="inlineStr">
        <is>
          <t>Test Hotel Non-PO invoice flow</t>
        </is>
      </c>
      <c r="E98" s="169" t="n">
        <v>46316</v>
      </c>
      <c r="F98" s="170" t="n">
        <v>46316</v>
      </c>
      <c r="G98" s="171" t="inlineStr">
        <is>
          <t>—</t>
        </is>
      </c>
      <c r="H98" s="171" t="inlineStr">
        <is>
          <t>—</t>
        </is>
      </c>
      <c r="I98" s="171" t="inlineStr">
        <is>
          <t>Team</t>
        </is>
      </c>
      <c r="J98" s="171" t="n"/>
      <c r="K98" s="171" t="n"/>
      <c r="L98" s="10" t="inlineStr">
        <is>
          <t>Not Started</t>
        </is>
      </c>
      <c r="M98" s="16" t="n">
        <v>0</v>
      </c>
    </row>
    <row r="99" hidden="1" ht="22.5" customHeight="1">
      <c r="A99" s="158" t="n">
        <v>99</v>
      </c>
      <c r="B99" s="164" t="inlineStr">
        <is>
          <t>Phase 1</t>
        </is>
      </c>
      <c r="C99" s="14" t="inlineStr">
        <is>
          <t>Invoice Type Functional / Scenario Testing</t>
        </is>
      </c>
      <c r="D99" s="164" t="inlineStr">
        <is>
          <t>Test Import Logistics invoice flow</t>
        </is>
      </c>
      <c r="E99" s="169" t="n">
        <v>46317</v>
      </c>
      <c r="F99" s="170" t="n">
        <v>46317</v>
      </c>
      <c r="G99" s="171" t="inlineStr">
        <is>
          <t>—</t>
        </is>
      </c>
      <c r="H99" s="171" t="inlineStr">
        <is>
          <t>—</t>
        </is>
      </c>
      <c r="I99" s="171" t="inlineStr">
        <is>
          <t>Team</t>
        </is>
      </c>
      <c r="J99" s="171" t="n"/>
      <c r="K99" s="171" t="n"/>
      <c r="L99" s="10" t="inlineStr">
        <is>
          <t>Not Started</t>
        </is>
      </c>
      <c r="M99" s="16" t="n">
        <v>0</v>
      </c>
    </row>
    <row r="100" hidden="1" ht="22.5" customHeight="1">
      <c r="A100" s="158" t="n">
        <v>100</v>
      </c>
      <c r="B100" s="164" t="inlineStr">
        <is>
          <t>Phase 1</t>
        </is>
      </c>
      <c r="C100" s="14" t="inlineStr">
        <is>
          <t>Invoice Type Functional / Scenario Testing</t>
        </is>
      </c>
      <c r="D100" s="164" t="inlineStr">
        <is>
          <t>Test Domestic Logistics invoice flow</t>
        </is>
      </c>
      <c r="E100" s="169" t="n">
        <v>46317</v>
      </c>
      <c r="F100" s="170" t="n">
        <v>46317</v>
      </c>
      <c r="G100" s="171" t="inlineStr">
        <is>
          <t>—</t>
        </is>
      </c>
      <c r="H100" s="171" t="inlineStr">
        <is>
          <t>—</t>
        </is>
      </c>
      <c r="I100" s="171" t="inlineStr">
        <is>
          <t>Team</t>
        </is>
      </c>
      <c r="J100" s="171" t="n"/>
      <c r="K100" s="171" t="n"/>
      <c r="L100" s="10" t="inlineStr">
        <is>
          <t>Not Started</t>
        </is>
      </c>
      <c r="M100" s="16" t="n">
        <v>0</v>
      </c>
    </row>
    <row r="101" hidden="1" ht="22.5" customHeight="1">
      <c r="A101" s="158" t="n">
        <v>101</v>
      </c>
      <c r="B101" s="164" t="inlineStr">
        <is>
          <t>Phase 1</t>
        </is>
      </c>
      <c r="C101" s="14" t="inlineStr">
        <is>
          <t>Invoice Type Functional / Scenario Testing</t>
        </is>
      </c>
      <c r="D101" s="164" t="inlineStr">
        <is>
          <t>Test Consultants (Time Based) invoice flow</t>
        </is>
      </c>
      <c r="E101" s="169" t="n">
        <v>46318</v>
      </c>
      <c r="F101" s="170" t="n">
        <v>46318</v>
      </c>
      <c r="G101" s="171" t="inlineStr">
        <is>
          <t>—</t>
        </is>
      </c>
      <c r="H101" s="171" t="inlineStr">
        <is>
          <t>—</t>
        </is>
      </c>
      <c r="I101" s="171" t="inlineStr">
        <is>
          <t>Team</t>
        </is>
      </c>
      <c r="J101" s="171" t="n"/>
      <c r="K101" s="171" t="n"/>
      <c r="L101" s="10" t="inlineStr">
        <is>
          <t>Not Started</t>
        </is>
      </c>
      <c r="M101" s="16" t="n">
        <v>0</v>
      </c>
    </row>
    <row r="102" hidden="1" ht="22.5" customHeight="1">
      <c r="A102" s="158" t="n">
        <v>102</v>
      </c>
      <c r="B102" s="164" t="inlineStr">
        <is>
          <t>Phase 1</t>
        </is>
      </c>
      <c r="C102" s="14" t="inlineStr">
        <is>
          <t>Invoice Type Functional / Scenario Testing</t>
        </is>
      </c>
      <c r="D102" s="164" t="inlineStr">
        <is>
          <t>Test Consultants (Milestone) invoice flow</t>
        </is>
      </c>
      <c r="E102" s="169" t="n">
        <v>46318</v>
      </c>
      <c r="F102" s="170" t="n">
        <v>46318</v>
      </c>
      <c r="G102" s="171" t="inlineStr">
        <is>
          <t>—</t>
        </is>
      </c>
      <c r="H102" s="171" t="inlineStr">
        <is>
          <t>—</t>
        </is>
      </c>
      <c r="I102" s="171" t="inlineStr">
        <is>
          <t>Team</t>
        </is>
      </c>
      <c r="J102" s="171" t="n"/>
      <c r="K102" s="171" t="n"/>
      <c r="L102" s="10" t="inlineStr">
        <is>
          <t>Not Started</t>
        </is>
      </c>
      <c r="M102" s="16" t="n">
        <v>0</v>
      </c>
    </row>
    <row r="103" hidden="1" ht="22.5" customHeight="1">
      <c r="A103" s="158" t="n">
        <v>103</v>
      </c>
      <c r="B103" s="164" t="inlineStr">
        <is>
          <t>Phase 1</t>
        </is>
      </c>
      <c r="C103" s="14" t="inlineStr">
        <is>
          <t>Invoice Type Functional / Scenario Testing</t>
        </is>
      </c>
      <c r="D103" s="164" t="inlineStr">
        <is>
          <t>Test Medical Services invoice flow</t>
        </is>
      </c>
      <c r="E103" s="169" t="n">
        <v>46321</v>
      </c>
      <c r="F103" s="170" t="n">
        <v>46321</v>
      </c>
      <c r="G103" s="171" t="inlineStr">
        <is>
          <t>—</t>
        </is>
      </c>
      <c r="H103" s="171" t="inlineStr">
        <is>
          <t>—</t>
        </is>
      </c>
      <c r="I103" s="171" t="inlineStr">
        <is>
          <t>Team</t>
        </is>
      </c>
      <c r="J103" s="171" t="n"/>
      <c r="K103" s="171" t="n"/>
      <c r="L103" s="10" t="inlineStr">
        <is>
          <t>Not Started</t>
        </is>
      </c>
      <c r="M103" s="16" t="n">
        <v>0</v>
      </c>
    </row>
    <row r="104" hidden="1" ht="22.5" customHeight="1">
      <c r="A104" s="158" t="n">
        <v>104</v>
      </c>
      <c r="B104" s="164" t="inlineStr">
        <is>
          <t>Phase 1</t>
        </is>
      </c>
      <c r="C104" s="14" t="inlineStr">
        <is>
          <t>Invoice Type Functional / Scenario Testing</t>
        </is>
      </c>
      <c r="D104" s="164" t="inlineStr">
        <is>
          <t>Test Surveillance and Inspection invoice flow</t>
        </is>
      </c>
      <c r="E104" s="169" t="n">
        <v>46321</v>
      </c>
      <c r="F104" s="170" t="n">
        <v>46321</v>
      </c>
      <c r="G104" s="171" t="inlineStr">
        <is>
          <t>—</t>
        </is>
      </c>
      <c r="H104" s="171" t="inlineStr">
        <is>
          <t>—</t>
        </is>
      </c>
      <c r="I104" s="171" t="inlineStr">
        <is>
          <t>Team</t>
        </is>
      </c>
      <c r="J104" s="171" t="n"/>
      <c r="K104" s="171" t="n"/>
      <c r="L104" s="10" t="inlineStr">
        <is>
          <t>Not Started</t>
        </is>
      </c>
      <c r="M104" s="16" t="n">
        <v>0</v>
      </c>
    </row>
    <row r="105" hidden="1" ht="22.5" customHeight="1">
      <c r="A105" s="158" t="n">
        <v>105</v>
      </c>
      <c r="B105" s="164" t="inlineStr">
        <is>
          <t>Phase 1</t>
        </is>
      </c>
      <c r="C105" s="14" t="inlineStr">
        <is>
          <t>Invoice Type Functional / Scenario Testing</t>
        </is>
      </c>
      <c r="D105" s="164" t="inlineStr">
        <is>
          <t>Test Telecom and Internet Services invoice flow</t>
        </is>
      </c>
      <c r="E105" s="169" t="n">
        <v>46322</v>
      </c>
      <c r="F105" s="170" t="n">
        <v>46322</v>
      </c>
      <c r="G105" s="171" t="inlineStr">
        <is>
          <t>—</t>
        </is>
      </c>
      <c r="H105" s="171" t="inlineStr">
        <is>
          <t>—</t>
        </is>
      </c>
      <c r="I105" s="171" t="inlineStr">
        <is>
          <t>Team</t>
        </is>
      </c>
      <c r="J105" s="171" t="n"/>
      <c r="K105" s="171" t="n"/>
      <c r="L105" s="10" t="inlineStr">
        <is>
          <t>Not Started</t>
        </is>
      </c>
      <c r="M105" s="16" t="n">
        <v>0</v>
      </c>
    </row>
    <row r="106" hidden="1" ht="22.5" customHeight="1">
      <c r="A106" s="158" t="n">
        <v>106</v>
      </c>
      <c r="B106" s="164" t="inlineStr">
        <is>
          <t>Phase 1</t>
        </is>
      </c>
      <c r="C106" s="14" t="inlineStr">
        <is>
          <t>Invoice Type Functional / Scenario Testing</t>
        </is>
      </c>
      <c r="D106" s="164" t="inlineStr">
        <is>
          <t>Test CSR / External Relation invoice flow</t>
        </is>
      </c>
      <c r="E106" s="169" t="n">
        <v>46322</v>
      </c>
      <c r="F106" s="170" t="n">
        <v>46322</v>
      </c>
      <c r="G106" s="171" t="inlineStr">
        <is>
          <t>—</t>
        </is>
      </c>
      <c r="H106" s="171" t="inlineStr">
        <is>
          <t>—</t>
        </is>
      </c>
      <c r="I106" s="171" t="inlineStr">
        <is>
          <t>Team</t>
        </is>
      </c>
      <c r="J106" s="171" t="n"/>
      <c r="K106" s="171" t="n"/>
      <c r="L106" s="10" t="inlineStr">
        <is>
          <t>Not Started</t>
        </is>
      </c>
      <c r="M106" s="16" t="n">
        <v>0</v>
      </c>
    </row>
    <row r="107" hidden="1" ht="22.5" customHeight="1">
      <c r="A107" s="158" t="n">
        <v>107</v>
      </c>
      <c r="B107" s="164" t="inlineStr">
        <is>
          <t>Phase 1</t>
        </is>
      </c>
      <c r="C107" s="14" t="inlineStr">
        <is>
          <t>Invoice Type Functional / Scenario Testing</t>
        </is>
      </c>
      <c r="D107" s="164" t="inlineStr">
        <is>
          <t>Test Corporate Credit Card invoice flow</t>
        </is>
      </c>
      <c r="E107" s="169" t="n">
        <v>46323</v>
      </c>
      <c r="F107" s="170" t="n">
        <v>46323</v>
      </c>
      <c r="G107" s="171" t="inlineStr">
        <is>
          <t>—</t>
        </is>
      </c>
      <c r="H107" s="171" t="inlineStr">
        <is>
          <t>—</t>
        </is>
      </c>
      <c r="I107" s="171" t="inlineStr">
        <is>
          <t>Team</t>
        </is>
      </c>
      <c r="J107" s="171" t="n"/>
      <c r="K107" s="171" t="n"/>
      <c r="L107" s="10" t="inlineStr">
        <is>
          <t>Not Started</t>
        </is>
      </c>
      <c r="M107" s="16" t="n">
        <v>0</v>
      </c>
    </row>
    <row r="108" hidden="1" ht="22.5" customHeight="1">
      <c r="A108" s="158" t="n">
        <v>108</v>
      </c>
      <c r="B108" s="164" t="inlineStr">
        <is>
          <t>Phase 1</t>
        </is>
      </c>
      <c r="C108" s="14" t="inlineStr">
        <is>
          <t>Invoice Type Functional / Scenario Testing</t>
        </is>
      </c>
      <c r="D108" s="164" t="inlineStr">
        <is>
          <t>Test Miscellaneous Business Expenses invoice flow</t>
        </is>
      </c>
      <c r="E108" s="169" t="n">
        <v>46323</v>
      </c>
      <c r="F108" s="170" t="n">
        <v>46323</v>
      </c>
      <c r="G108" s="171" t="inlineStr">
        <is>
          <t>—</t>
        </is>
      </c>
      <c r="H108" s="171" t="inlineStr">
        <is>
          <t>—</t>
        </is>
      </c>
      <c r="I108" s="171" t="inlineStr">
        <is>
          <t>Team</t>
        </is>
      </c>
      <c r="J108" s="171" t="n"/>
      <c r="K108" s="171" t="n"/>
      <c r="L108" s="10" t="inlineStr">
        <is>
          <t>Not Started</t>
        </is>
      </c>
      <c r="M108" s="16" t="n">
        <v>0</v>
      </c>
    </row>
    <row r="109" hidden="1" ht="22.5" customHeight="1">
      <c r="A109" s="158" t="n">
        <v>109</v>
      </c>
      <c r="B109" s="164" t="inlineStr">
        <is>
          <t>Phase 1</t>
        </is>
      </c>
      <c r="C109" s="14" t="inlineStr">
        <is>
          <t>Invoice Type Functional / Scenario Testing</t>
        </is>
      </c>
      <c r="D109" s="164" t="inlineStr">
        <is>
          <t>Test Events and Celebrations invoice flow</t>
        </is>
      </c>
      <c r="E109" s="169" t="n">
        <v>46323</v>
      </c>
      <c r="F109" s="170" t="n">
        <v>46323</v>
      </c>
      <c r="G109" s="171" t="inlineStr">
        <is>
          <t>—</t>
        </is>
      </c>
      <c r="H109" s="171" t="inlineStr">
        <is>
          <t>—</t>
        </is>
      </c>
      <c r="I109" s="171" t="inlineStr">
        <is>
          <t>Team</t>
        </is>
      </c>
      <c r="J109" s="171" t="n"/>
      <c r="K109" s="171" t="n"/>
      <c r="L109" s="10" t="inlineStr">
        <is>
          <t>Not Started</t>
        </is>
      </c>
      <c r="M109" s="16" t="n">
        <v>0</v>
      </c>
    </row>
    <row r="110" hidden="1" ht="48" customHeight="1">
      <c r="A110" s="156" t="inlineStr">
        <is>
          <t>P2</t>
        </is>
      </c>
      <c r="B110" s="157" t="inlineStr">
        <is>
          <t>PHASE 2</t>
        </is>
      </c>
      <c r="C110" s="14" t="inlineStr">
        <is>
          <t>Specialized Invoice Logic &amp; Enterprise Hardening</t>
        </is>
      </c>
      <c r="D110" s="157" t="inlineStr">
        <is>
          <t>Dev complete 30-Oct-2026 | Functional tests 04–06 Nov | Phase 2 E2E + full regression 10–13 Nov | LD/Retention/Advance/WHT/VAT, specialized invoices, biometric, reporting, audit/security, reliability.</t>
        </is>
      </c>
      <c r="E110" s="161" t="n">
        <v>46282</v>
      </c>
      <c r="F110" s="161" t="n">
        <v>46339</v>
      </c>
      <c r="G110" s="156" t="inlineStr">
        <is>
          <t>—</t>
        </is>
      </c>
      <c r="H110" s="156" t="inlineStr">
        <is>
          <t>—</t>
        </is>
      </c>
      <c r="I110" s="156" t="inlineStr">
        <is>
          <t>Team</t>
        </is>
      </c>
      <c r="J110" s="156" t="n"/>
      <c r="K110" s="156" t="n"/>
      <c r="L110" s="17" t="inlineStr">
        <is>
          <t>Not Started</t>
        </is>
      </c>
      <c r="M110" s="11" t="n">
        <v>0</v>
      </c>
    </row>
    <row r="111" ht="24" customHeight="1">
      <c r="A111" s="158" t="n">
        <v>110</v>
      </c>
      <c r="B111" s="159" t="inlineStr">
        <is>
          <t>Phase 2</t>
        </is>
      </c>
      <c r="C111" s="14" t="inlineStr">
        <is>
          <t>Liquidated Damages</t>
        </is>
      </c>
      <c r="D111" s="159" t="inlineStr">
        <is>
          <t>Finalize and implement LD / 17-Incoterm calculation rules and validate LD scenarios</t>
        </is>
      </c>
      <c r="E111" s="160" t="n">
        <v>46296</v>
      </c>
      <c r="F111" s="160" t="n">
        <v>46300</v>
      </c>
      <c r="G111" s="158" t="inlineStr">
        <is>
          <t>—</t>
        </is>
      </c>
      <c r="H111" s="158" t="inlineStr">
        <is>
          <t>—</t>
        </is>
      </c>
      <c r="I111" s="158" t="inlineStr">
        <is>
          <t>Sabrina</t>
        </is>
      </c>
      <c r="J111" s="158" t="n"/>
      <c r="K111" s="158" t="n"/>
      <c r="L111" s="18" t="inlineStr">
        <is>
          <t>Not Started</t>
        </is>
      </c>
      <c r="M111" s="8" t="n">
        <v>0</v>
      </c>
    </row>
    <row r="112" hidden="1" ht="14.25" customHeight="1">
      <c r="A112" s="158" t="n">
        <v>111</v>
      </c>
      <c r="B112" s="159" t="inlineStr">
        <is>
          <t>Phase 2</t>
        </is>
      </c>
      <c r="C112" s="14" t="inlineStr">
        <is>
          <t>Retention</t>
        </is>
      </c>
      <c r="D112" s="159" t="inlineStr">
        <is>
          <t>Retention calculation and recovery tracking for applicable invoices</t>
        </is>
      </c>
      <c r="E112" s="160" t="n">
        <v>46308</v>
      </c>
      <c r="F112" s="160" t="n">
        <v>46309</v>
      </c>
      <c r="G112" s="158" t="inlineStr">
        <is>
          <t>—</t>
        </is>
      </c>
      <c r="H112" s="158" t="inlineStr">
        <is>
          <t>—</t>
        </is>
      </c>
      <c r="I112" s="158" t="inlineStr">
        <is>
          <t>Natheera</t>
        </is>
      </c>
      <c r="J112" s="158" t="n"/>
      <c r="K112" s="158" t="n"/>
      <c r="L112" s="18" t="inlineStr">
        <is>
          <t>Not Started</t>
        </is>
      </c>
      <c r="M112" s="8" t="n">
        <v>0</v>
      </c>
    </row>
    <row r="113" ht="24" customHeight="1">
      <c r="A113" s="158" t="n">
        <v>112</v>
      </c>
      <c r="B113" s="159" t="inlineStr">
        <is>
          <t>Phase 2</t>
        </is>
      </c>
      <c r="C113" s="14" t="inlineStr">
        <is>
          <t>Advance Payment</t>
        </is>
      </c>
      <c r="D113" s="159" t="inlineStr">
        <is>
          <t>Advance-payment recovery calculation and tracking for applicable invoices</t>
        </is>
      </c>
      <c r="E113" s="160" t="n">
        <v>46301</v>
      </c>
      <c r="F113" s="160" t="n">
        <v>46302</v>
      </c>
      <c r="G113" s="158" t="inlineStr">
        <is>
          <t>—</t>
        </is>
      </c>
      <c r="H113" s="158" t="inlineStr">
        <is>
          <t>—</t>
        </is>
      </c>
      <c r="I113" s="158" t="inlineStr">
        <is>
          <t>Sabrina</t>
        </is>
      </c>
      <c r="J113" s="158" t="n"/>
      <c r="K113" s="158" t="n"/>
      <c r="L113" s="18" t="inlineStr">
        <is>
          <t>Not Started</t>
        </is>
      </c>
      <c r="M113" s="8" t="n">
        <v>0</v>
      </c>
    </row>
    <row r="114">
      <c r="A114" s="158" t="n">
        <v>113</v>
      </c>
      <c r="B114" s="159" t="inlineStr">
        <is>
          <t>Phase 2</t>
        </is>
      </c>
      <c r="C114" s="14" t="inlineStr">
        <is>
          <t>WHT / Treaty</t>
        </is>
      </c>
      <c r="D114" s="159" t="inlineStr">
        <is>
          <t>WHT, offshore/treaty and withholding-condition calculation</t>
        </is>
      </c>
      <c r="E114" s="160" t="n">
        <v>46303</v>
      </c>
      <c r="F114" s="160" t="n">
        <v>46307</v>
      </c>
      <c r="G114" s="158" t="inlineStr">
        <is>
          <t>—</t>
        </is>
      </c>
      <c r="H114" s="158" t="inlineStr">
        <is>
          <t>—</t>
        </is>
      </c>
      <c r="I114" s="158" t="inlineStr">
        <is>
          <t>Sabrina</t>
        </is>
      </c>
      <c r="J114" s="158" t="n"/>
      <c r="K114" s="158" t="n"/>
      <c r="L114" s="18" t="inlineStr">
        <is>
          <t>Not Started</t>
        </is>
      </c>
      <c r="M114" s="8" t="n">
        <v>0</v>
      </c>
    </row>
    <row r="115" hidden="1" ht="22.5" customHeight="1">
      <c r="A115" s="158" t="n">
        <v>114</v>
      </c>
      <c r="B115" s="159" t="inlineStr">
        <is>
          <t>Phase 2</t>
        </is>
      </c>
      <c r="C115" s="14" t="inlineStr">
        <is>
          <t>VAT / Faktur Pajak</t>
        </is>
      </c>
      <c r="D115" s="159" t="inlineStr">
        <is>
          <t>VAT/tax-document validation including Faktur Pajak format, age, uniqueness and tax rules</t>
        </is>
      </c>
      <c r="E115" s="160" t="n">
        <v>46310</v>
      </c>
      <c r="F115" s="160" t="n">
        <v>46311</v>
      </c>
      <c r="G115" s="158" t="inlineStr">
        <is>
          <t>—</t>
        </is>
      </c>
      <c r="H115" s="158" t="inlineStr">
        <is>
          <t>—</t>
        </is>
      </c>
      <c r="I115" s="158" t="inlineStr">
        <is>
          <t>Natheera</t>
        </is>
      </c>
      <c r="J115" s="158" t="n"/>
      <c r="K115" s="158" t="n"/>
      <c r="L115" s="18" t="inlineStr">
        <is>
          <t>Not Started</t>
        </is>
      </c>
      <c r="M115" s="8" t="n">
        <v>0</v>
      </c>
    </row>
    <row r="116" ht="24" customHeight="1">
      <c r="A116" s="158" t="n">
        <v>115</v>
      </c>
      <c r="B116" s="159" t="inlineStr">
        <is>
          <t>Phase 2</t>
        </is>
      </c>
      <c r="C116" s="14" t="inlineStr">
        <is>
          <t>Specialized Invoice Logic</t>
        </is>
      </c>
      <c r="D116" s="159" t="inlineStr">
        <is>
          <t>Manpower N-way reconciliation rules engine — timesheet, manhour summary, WPC/BA, biometric, SES &amp; invoice</t>
        </is>
      </c>
      <c r="E116" s="160" t="n">
        <v>46317</v>
      </c>
      <c r="F116" s="160" t="n">
        <v>46321</v>
      </c>
      <c r="G116" s="158" t="inlineStr">
        <is>
          <t>—</t>
        </is>
      </c>
      <c r="H116" s="158" t="inlineStr">
        <is>
          <t>—</t>
        </is>
      </c>
      <c r="I116" s="158" t="inlineStr">
        <is>
          <t>Sabrina</t>
        </is>
      </c>
      <c r="J116" s="158" t="n"/>
      <c r="K116" s="158" t="n"/>
      <c r="L116" s="18" t="inlineStr">
        <is>
          <t>Not Started</t>
        </is>
      </c>
      <c r="M116" s="8" t="n">
        <v>0</v>
      </c>
    </row>
    <row r="117" ht="24" customHeight="1">
      <c r="A117" s="158" t="n">
        <v>116</v>
      </c>
      <c r="B117" s="159" t="inlineStr">
        <is>
          <t>Phase 2</t>
        </is>
      </c>
      <c r="C117" s="14" t="inlineStr">
        <is>
          <t>Specialized Invoice Logic</t>
        </is>
      </c>
      <c r="D117" s="159" t="inlineStr">
        <is>
          <t>Manpower — extraction/config for timesheet, manhour summary &amp; WPC/BA, biometric data mapping and result UI</t>
        </is>
      </c>
      <c r="E117" s="160" t="n">
        <v>46322</v>
      </c>
      <c r="F117" s="160" t="n">
        <v>46324</v>
      </c>
      <c r="G117" s="158" t="inlineStr">
        <is>
          <t>—</t>
        </is>
      </c>
      <c r="H117" s="158" t="inlineStr">
        <is>
          <t>—</t>
        </is>
      </c>
      <c r="I117" s="158" t="inlineStr">
        <is>
          <t>Sabrina</t>
        </is>
      </c>
      <c r="J117" s="158" t="n"/>
      <c r="K117" s="158" t="n"/>
      <c r="L117" s="18" t="inlineStr">
        <is>
          <t>Not Started</t>
        </is>
      </c>
      <c r="M117" s="8" t="n">
        <v>0</v>
      </c>
    </row>
    <row r="118" ht="24" customHeight="1">
      <c r="A118" s="158" t="n">
        <v>117</v>
      </c>
      <c r="B118" s="159" t="inlineStr">
        <is>
          <t>Phase 2</t>
        </is>
      </c>
      <c r="C118" s="14" t="inlineStr">
        <is>
          <t>Specialized Invoice Logic</t>
        </is>
      </c>
      <c r="D118" s="159" t="inlineStr">
        <is>
          <t>Civil Contractor progress/WPC, SES, retention, advance and LD-related validation</t>
        </is>
      </c>
      <c r="E118" s="160" t="n">
        <v>46308</v>
      </c>
      <c r="F118" s="160" t="n">
        <v>46310</v>
      </c>
      <c r="G118" s="158" t="inlineStr">
        <is>
          <t>—</t>
        </is>
      </c>
      <c r="H118" s="158" t="inlineStr">
        <is>
          <t>—</t>
        </is>
      </c>
      <c r="I118" s="158" t="inlineStr">
        <is>
          <t>Sabrina</t>
        </is>
      </c>
      <c r="J118" s="158" t="n"/>
      <c r="K118" s="158" t="n"/>
      <c r="L118" s="18" t="inlineStr">
        <is>
          <t>Not Started</t>
        </is>
      </c>
      <c r="M118" s="8" t="n">
        <v>0</v>
      </c>
    </row>
    <row r="119" ht="24" customHeight="1">
      <c r="A119" s="158" t="n">
        <v>118</v>
      </c>
      <c r="B119" s="159" t="inlineStr">
        <is>
          <t>Phase 2</t>
        </is>
      </c>
      <c r="C119" s="14" t="inlineStr">
        <is>
          <t>Specialized Invoice Logic</t>
        </is>
      </c>
      <c r="D119" s="159" t="inlineStr">
        <is>
          <t>Catering / Camp / Housekeeping attendance, meal and service reconciliation</t>
        </is>
      </c>
      <c r="E119" s="160" t="n">
        <v>46311</v>
      </c>
      <c r="F119" s="160" t="n">
        <v>46315</v>
      </c>
      <c r="G119" s="158" t="inlineStr">
        <is>
          <t>—</t>
        </is>
      </c>
      <c r="H119" s="158" t="inlineStr">
        <is>
          <t>—</t>
        </is>
      </c>
      <c r="I119" s="158" t="inlineStr">
        <is>
          <t>Sabrina</t>
        </is>
      </c>
      <c r="J119" s="158" t="n"/>
      <c r="K119" s="158" t="n"/>
      <c r="L119" s="18" t="inlineStr">
        <is>
          <t>Not Started</t>
        </is>
      </c>
      <c r="M119" s="8" t="n">
        <v>0</v>
      </c>
    </row>
    <row r="120" hidden="1" ht="22.5" customHeight="1">
      <c r="A120" s="158" t="n">
        <v>119</v>
      </c>
      <c r="B120" s="159" t="inlineStr">
        <is>
          <t>Phase 2</t>
        </is>
      </c>
      <c r="C120" s="159" t="inlineStr">
        <is>
          <t>Specialized Invoice Logic</t>
        </is>
      </c>
      <c r="D120" s="159" t="inlineStr">
        <is>
          <t>Natural Gas tier / benchmark pricing rules &amp; invoice reconciliation</t>
        </is>
      </c>
      <c r="E120" s="160" t="n">
        <v>46316</v>
      </c>
      <c r="F120" s="160" t="n">
        <v>46317</v>
      </c>
      <c r="G120" s="158" t="inlineStr">
        <is>
          <t>—</t>
        </is>
      </c>
      <c r="H120" s="158" t="inlineStr">
        <is>
          <t>—</t>
        </is>
      </c>
      <c r="I120" s="158" t="inlineStr">
        <is>
          <t>Rahul</t>
        </is>
      </c>
      <c r="J120" s="158" t="n"/>
      <c r="K120" s="158" t="n"/>
      <c r="L120" s="18" t="inlineStr">
        <is>
          <t>Not Started</t>
        </is>
      </c>
      <c r="M120" s="8" t="n">
        <v>0</v>
      </c>
    </row>
    <row r="121" hidden="1" ht="22.5" customHeight="1">
      <c r="A121" s="158" t="n">
        <v>120</v>
      </c>
      <c r="B121" s="159" t="inlineStr">
        <is>
          <t>Phase 2</t>
        </is>
      </c>
      <c r="C121" s="159" t="inlineStr">
        <is>
          <t>Specialized Invoice Logic</t>
        </is>
      </c>
      <c r="D121" s="159" t="inlineStr">
        <is>
          <t>Natural Gas — configuration, UI &amp; result presentation</t>
        </is>
      </c>
      <c r="E121" s="160" t="n">
        <v>46318</v>
      </c>
      <c r="F121" s="160" t="n">
        <v>46321</v>
      </c>
      <c r="G121" s="158" t="inlineStr">
        <is>
          <t>—</t>
        </is>
      </c>
      <c r="H121" s="158" t="inlineStr">
        <is>
          <t>—</t>
        </is>
      </c>
      <c r="I121" s="158" t="inlineStr">
        <is>
          <t>Rahul</t>
        </is>
      </c>
      <c r="J121" s="158" t="n"/>
      <c r="K121" s="158" t="n"/>
      <c r="L121" s="18" t="inlineStr">
        <is>
          <t>Not Started</t>
        </is>
      </c>
      <c r="M121" s="8" t="n">
        <v>0</v>
      </c>
    </row>
    <row r="122" hidden="1" ht="22.5" customHeight="1">
      <c r="A122" s="158" t="n">
        <v>121</v>
      </c>
      <c r="B122" s="159" t="inlineStr">
        <is>
          <t>Phase 2</t>
        </is>
      </c>
      <c r="C122" s="159" t="inlineStr">
        <is>
          <t>Specialized Invoice Logic</t>
        </is>
      </c>
      <c r="D122" s="159" t="inlineStr">
        <is>
          <t>Composite PO material/service reconciliation rules &amp; WHT-on-service handling</t>
        </is>
      </c>
      <c r="E122" s="160" t="n">
        <v>46322</v>
      </c>
      <c r="F122" s="160" t="n">
        <v>46323</v>
      </c>
      <c r="G122" s="158" t="inlineStr">
        <is>
          <t>—</t>
        </is>
      </c>
      <c r="H122" s="158" t="inlineStr">
        <is>
          <t>—</t>
        </is>
      </c>
      <c r="I122" s="158" t="inlineStr">
        <is>
          <t>Rahul</t>
        </is>
      </c>
      <c r="J122" s="158" t="n"/>
      <c r="K122" s="158" t="n"/>
      <c r="L122" s="18" t="inlineStr">
        <is>
          <t>Not Started</t>
        </is>
      </c>
      <c r="M122" s="8" t="n">
        <v>0</v>
      </c>
    </row>
    <row r="123" hidden="1" ht="22.5" customHeight="1">
      <c r="A123" s="158" t="n">
        <v>122</v>
      </c>
      <c r="B123" s="159" t="inlineStr">
        <is>
          <t>Phase 2</t>
        </is>
      </c>
      <c r="C123" s="159" t="inlineStr">
        <is>
          <t>Specialized Invoice Logic</t>
        </is>
      </c>
      <c r="D123" s="159" t="inlineStr">
        <is>
          <t>Composite PO — configuration, UI &amp; result presentation</t>
        </is>
      </c>
      <c r="E123" s="160" t="n">
        <v>46324</v>
      </c>
      <c r="F123" s="160" t="n">
        <v>46325</v>
      </c>
      <c r="G123" s="158" t="inlineStr">
        <is>
          <t>—</t>
        </is>
      </c>
      <c r="H123" s="158" t="inlineStr">
        <is>
          <t>—</t>
        </is>
      </c>
      <c r="I123" s="158" t="inlineStr">
        <is>
          <t>Rahul</t>
        </is>
      </c>
      <c r="J123" s="158" t="n"/>
      <c r="K123" s="158" t="n"/>
      <c r="L123" s="18" t="inlineStr">
        <is>
          <t>Not Started</t>
        </is>
      </c>
      <c r="M123" s="8" t="n">
        <v>0</v>
      </c>
    </row>
    <row r="124" hidden="1" ht="22.5" customHeight="1">
      <c r="A124" s="158" t="n">
        <v>123</v>
      </c>
      <c r="B124" s="159" t="inlineStr">
        <is>
          <t>Phase 2</t>
        </is>
      </c>
      <c r="C124" s="159" t="inlineStr">
        <is>
          <t>Biometric Integration</t>
        </is>
      </c>
      <c r="D124" s="159" t="inlineStr">
        <is>
          <t>Secured biometric/attendance inbound API, normalization and missing-data/manual-verification fallback</t>
        </is>
      </c>
      <c r="E124" s="160" t="n">
        <v>46287</v>
      </c>
      <c r="F124" s="160" t="n">
        <v>46289</v>
      </c>
      <c r="G124" s="158" t="inlineStr">
        <is>
          <t>—</t>
        </is>
      </c>
      <c r="H124" s="158" t="inlineStr">
        <is>
          <t>—</t>
        </is>
      </c>
      <c r="I124" s="158" t="inlineStr">
        <is>
          <t>Rahul</t>
        </is>
      </c>
      <c r="J124" s="158" t="n"/>
      <c r="K124" s="158" t="n"/>
      <c r="L124" s="18" t="inlineStr">
        <is>
          <t>Not Started</t>
        </is>
      </c>
      <c r="M124" s="8" t="n">
        <v>0</v>
      </c>
    </row>
    <row r="125" hidden="1" ht="22.5" customHeight="1">
      <c r="A125" s="158" t="n">
        <v>124</v>
      </c>
      <c r="B125" s="159" t="inlineStr">
        <is>
          <t>Phase 2</t>
        </is>
      </c>
      <c r="C125" s="159" t="inlineStr">
        <is>
          <t>Dashboard &amp; Reporting</t>
        </is>
      </c>
      <c r="D125" s="159" t="inlineStr">
        <is>
          <t>AP KPI/workload dashboard, exception/SLA/approval operational views and CSV/Excel exports</t>
        </is>
      </c>
      <c r="E125" s="160" t="n">
        <v>46310</v>
      </c>
      <c r="F125" s="160" t="n">
        <v>46321</v>
      </c>
      <c r="G125" s="158" t="inlineStr">
        <is>
          <t>—</t>
        </is>
      </c>
      <c r="H125" s="158" t="inlineStr">
        <is>
          <t>—</t>
        </is>
      </c>
      <c r="I125" s="158" t="inlineStr">
        <is>
          <t>Khalid</t>
        </is>
      </c>
      <c r="J125" s="158" t="n"/>
      <c r="K125" s="158" t="n"/>
      <c r="L125" s="18" t="inlineStr">
        <is>
          <t>Not Started</t>
        </is>
      </c>
      <c r="M125" s="8" t="n">
        <v>0</v>
      </c>
    </row>
    <row r="126" hidden="1" ht="14.25" customHeight="1">
      <c r="A126" s="158" t="n">
        <v>125</v>
      </c>
      <c r="B126" s="159" t="inlineStr">
        <is>
          <t>Phase 2</t>
        </is>
      </c>
      <c r="C126" s="159" t="inlineStr">
        <is>
          <t>Audit &amp; Logging</t>
        </is>
      </c>
      <c r="D126" s="159" t="inlineStr">
        <is>
          <t>Audit &amp; logging — design review and Azure log/retention setup</t>
        </is>
      </c>
      <c r="E126" s="160" t="n">
        <v>46307</v>
      </c>
      <c r="F126" s="160" t="n">
        <v>46307</v>
      </c>
      <c r="G126" s="158" t="inlineStr">
        <is>
          <t>—</t>
        </is>
      </c>
      <c r="H126" s="158" t="inlineStr">
        <is>
          <t>—</t>
        </is>
      </c>
      <c r="I126" s="158" t="inlineStr">
        <is>
          <t>Pranay</t>
        </is>
      </c>
      <c r="J126" s="158" t="n"/>
      <c r="K126" s="158" t="n"/>
      <c r="L126" s="18" t="inlineStr">
        <is>
          <t>Not Started</t>
        </is>
      </c>
      <c r="M126" s="8" t="n">
        <v>0</v>
      </c>
    </row>
    <row r="127" hidden="1" ht="22.5" customHeight="1">
      <c r="A127" s="158" t="n">
        <v>126</v>
      </c>
      <c r="B127" s="159" t="inlineStr">
        <is>
          <t>Phase 2</t>
        </is>
      </c>
      <c r="C127" s="159" t="inlineStr">
        <is>
          <t>Security &amp; API Controls</t>
        </is>
      </c>
      <c r="D127" s="159" t="inlineStr">
        <is>
          <t>API/data controls — API/file authorization, request validation, secrets/masking, data integrity &amp; concurrency</t>
        </is>
      </c>
      <c r="E127" s="160" t="n">
        <v>46290</v>
      </c>
      <c r="F127" s="160" t="n">
        <v>46295</v>
      </c>
      <c r="G127" s="158" t="inlineStr">
        <is>
          <t>—</t>
        </is>
      </c>
      <c r="H127" s="158" t="inlineStr">
        <is>
          <t>—</t>
        </is>
      </c>
      <c r="I127" s="158" t="inlineStr">
        <is>
          <t>Rahul</t>
        </is>
      </c>
      <c r="J127" s="158" t="n"/>
      <c r="K127" s="158" t="n"/>
      <c r="L127" s="18" t="inlineStr">
        <is>
          <t>Not Started</t>
        </is>
      </c>
      <c r="M127" s="8" t="n">
        <v>0</v>
      </c>
    </row>
    <row r="128" hidden="1" ht="22.5" customHeight="1">
      <c r="A128" s="158" t="n">
        <v>127</v>
      </c>
      <c r="B128" s="159" t="inlineStr">
        <is>
          <t>Phase 2</t>
        </is>
      </c>
      <c r="C128" s="159" t="inlineStr">
        <is>
          <t>Security &amp; API Controls</t>
        </is>
      </c>
      <c r="D128" s="159" t="inlineStr">
        <is>
          <t>Security — UI &amp; file-access behavior validation</t>
        </is>
      </c>
      <c r="E128" s="160" t="n">
        <v>46330</v>
      </c>
      <c r="F128" s="160" t="n">
        <v>46331</v>
      </c>
      <c r="G128" s="158" t="inlineStr">
        <is>
          <t>—</t>
        </is>
      </c>
      <c r="H128" s="158" t="inlineStr">
        <is>
          <t>—</t>
        </is>
      </c>
      <c r="I128" s="158" t="inlineStr">
        <is>
          <t>Tester 1</t>
        </is>
      </c>
      <c r="J128" s="158" t="n"/>
      <c r="K128" s="158" t="n"/>
      <c r="L128" s="18" t="inlineStr">
        <is>
          <t>Not Started</t>
        </is>
      </c>
      <c r="M128" s="8" t="n">
        <v>0</v>
      </c>
    </row>
    <row r="129" hidden="1" ht="22.5" customHeight="1">
      <c r="A129" s="158" t="n">
        <v>128</v>
      </c>
      <c r="B129" s="159" t="inlineStr">
        <is>
          <t>Phase 2</t>
        </is>
      </c>
      <c r="C129" s="159" t="inlineStr">
        <is>
          <t>Security &amp; API Controls</t>
        </is>
      </c>
      <c r="D129" s="159" t="inlineStr">
        <is>
          <t>Security — architecture &amp; security review</t>
        </is>
      </c>
      <c r="E129" s="160" t="n">
        <v>46314</v>
      </c>
      <c r="F129" s="160" t="n">
        <v>46314</v>
      </c>
      <c r="G129" s="158" t="inlineStr">
        <is>
          <t>—</t>
        </is>
      </c>
      <c r="H129" s="158" t="inlineStr">
        <is>
          <t>—</t>
        </is>
      </c>
      <c r="I129" s="158" t="inlineStr">
        <is>
          <t>Pranay</t>
        </is>
      </c>
      <c r="J129" s="158" t="n"/>
      <c r="K129" s="158" t="n"/>
      <c r="L129" s="18" t="inlineStr">
        <is>
          <t>Not Started</t>
        </is>
      </c>
      <c r="M129" s="8" t="n">
        <v>0</v>
      </c>
    </row>
    <row r="130" hidden="1" ht="22.5" customHeight="1">
      <c r="A130" s="158" t="n">
        <v>129</v>
      </c>
      <c r="B130" s="159" t="inlineStr">
        <is>
          <t>Phase 2</t>
        </is>
      </c>
      <c r="C130" s="159" t="inlineStr">
        <is>
          <t>Scheduler &amp; Reliability</t>
        </is>
      </c>
      <c r="D130" s="159" t="inlineStr">
        <is>
          <t>Background schedulers, checkpointing, locking, retry/backoff, dead-letter, replay &amp; recovery — backend</t>
        </is>
      </c>
      <c r="E130" s="160" t="n">
        <v>46315</v>
      </c>
      <c r="F130" s="160" t="n">
        <v>46317</v>
      </c>
      <c r="G130" s="158" t="inlineStr">
        <is>
          <t>—</t>
        </is>
      </c>
      <c r="H130" s="158" t="inlineStr">
        <is>
          <t>—</t>
        </is>
      </c>
      <c r="I130" s="158" t="inlineStr">
        <is>
          <t>Pranay</t>
        </is>
      </c>
      <c r="J130" s="158" t="n"/>
      <c r="K130" s="158" t="n"/>
      <c r="L130" s="18" t="inlineStr">
        <is>
          <t>Not Started</t>
        </is>
      </c>
      <c r="M130" s="8" t="n">
        <v>0</v>
      </c>
    </row>
    <row r="131" hidden="1" ht="22.5" customHeight="1">
      <c r="A131" s="158" t="n">
        <v>130</v>
      </c>
      <c r="B131" s="159" t="inlineStr">
        <is>
          <t>Phase 2</t>
        </is>
      </c>
      <c r="C131" s="159" t="inlineStr">
        <is>
          <t>Scheduler &amp; Reliability</t>
        </is>
      </c>
      <c r="D131" s="159" t="inlineStr">
        <is>
          <t>Scheduler &amp; reliability — notification/UI recovery flow validation</t>
        </is>
      </c>
      <c r="E131" s="160" t="n">
        <v>46331</v>
      </c>
      <c r="F131" s="160" t="n">
        <v>46332</v>
      </c>
      <c r="G131" s="158" t="inlineStr">
        <is>
          <t>—</t>
        </is>
      </c>
      <c r="H131" s="158" t="inlineStr">
        <is>
          <t>—</t>
        </is>
      </c>
      <c r="I131" s="158" t="inlineStr">
        <is>
          <t>Tester 2</t>
        </is>
      </c>
      <c r="J131" s="158" t="n"/>
      <c r="K131" s="158" t="n"/>
      <c r="L131" s="18" t="inlineStr">
        <is>
          <t>Not Started</t>
        </is>
      </c>
      <c r="M131" s="8" t="n">
        <v>0</v>
      </c>
    </row>
    <row r="132" hidden="1" ht="22.5" customHeight="1">
      <c r="A132" s="158" t="n">
        <v>131</v>
      </c>
      <c r="B132" s="159" t="inlineStr">
        <is>
          <t>Phase 2</t>
        </is>
      </c>
      <c r="C132" s="159" t="inlineStr">
        <is>
          <t>Scheduler &amp; Reliability</t>
        </is>
      </c>
      <c r="D132" s="159" t="inlineStr">
        <is>
          <t>Scheduler &amp; reliability — resilience design review</t>
        </is>
      </c>
      <c r="E132" s="160" t="n">
        <v>46318</v>
      </c>
      <c r="F132" s="160" t="n">
        <v>46318</v>
      </c>
      <c r="G132" s="158" t="inlineStr">
        <is>
          <t>—</t>
        </is>
      </c>
      <c r="H132" s="158" t="inlineStr">
        <is>
          <t>—</t>
        </is>
      </c>
      <c r="I132" s="158" t="inlineStr">
        <is>
          <t>Pranay</t>
        </is>
      </c>
      <c r="J132" s="158" t="n"/>
      <c r="K132" s="158" t="n"/>
      <c r="L132" s="18" t="inlineStr">
        <is>
          <t>Not Started</t>
        </is>
      </c>
      <c r="M132" s="8" t="n">
        <v>0</v>
      </c>
    </row>
    <row r="133" hidden="1" ht="22.5" customHeight="1">
      <c r="A133" s="158" t="n">
        <v>132</v>
      </c>
      <c r="B133" s="14" t="inlineStr">
        <is>
          <t>Phase 2</t>
        </is>
      </c>
      <c r="C133" s="14" t="inlineStr">
        <is>
          <t>VAT / Faktur Pajak</t>
        </is>
      </c>
      <c r="D133" s="14" t="inlineStr">
        <is>
          <t>Integrate DJP/Coretax API for Faktur Pajak validation</t>
        </is>
      </c>
      <c r="E133" s="162" t="n">
        <v>46314</v>
      </c>
      <c r="F133" s="160" t="n">
        <v>46317</v>
      </c>
      <c r="G133" s="158" t="inlineStr">
        <is>
          <t>—</t>
        </is>
      </c>
      <c r="H133" s="158" t="inlineStr">
        <is>
          <t>—</t>
        </is>
      </c>
      <c r="I133" s="158" t="inlineStr">
        <is>
          <t>Natheera</t>
        </is>
      </c>
      <c r="J133" s="158" t="n"/>
      <c r="K133" s="158" t="n"/>
      <c r="L133" s="12" t="inlineStr">
        <is>
          <t>Not Started</t>
        </is>
      </c>
      <c r="M133" s="8" t="n">
        <v>0</v>
      </c>
    </row>
    <row r="134" hidden="1" ht="22.5" customHeight="1">
      <c r="A134" s="206" t="n">
        <v>133</v>
      </c>
      <c r="B134" s="207" t="inlineStr">
        <is>
          <t>Phase 2</t>
        </is>
      </c>
      <c r="C134" s="207" t="inlineStr">
        <is>
          <t>Liquidated Damages</t>
        </is>
      </c>
      <c r="D134" s="207" t="inlineStr">
        <is>
          <t>Build LD Waiver form, DoA approval and Special GL J reclass</t>
        </is>
      </c>
      <c r="E134" s="209" t="n">
        <v>46318</v>
      </c>
      <c r="F134" s="210" t="n">
        <v>46322</v>
      </c>
      <c r="G134" s="206" t="inlineStr">
        <is>
          <t>—</t>
        </is>
      </c>
      <c r="H134" s="206" t="inlineStr">
        <is>
          <t>—</t>
        </is>
      </c>
      <c r="I134" s="206" t="inlineStr">
        <is>
          <t>Natheera</t>
        </is>
      </c>
      <c r="J134" s="206" t="n"/>
      <c r="K134" s="206" t="n"/>
      <c r="L134" s="12" t="inlineStr">
        <is>
          <t>Not Started</t>
        </is>
      </c>
      <c r="M134" s="8" t="n">
        <v>0</v>
      </c>
    </row>
    <row r="135" hidden="1" ht="34.5" customHeight="1">
      <c r="A135" s="158" t="n">
        <v>134</v>
      </c>
      <c r="B135" s="14" t="inlineStr">
        <is>
          <t>Phase 2</t>
        </is>
      </c>
      <c r="C135" s="14" t="inlineStr">
        <is>
          <t>Advance Payment</t>
        </is>
      </c>
      <c r="D135" s="14" t="inlineStr">
        <is>
          <t>Build Advance Request and Settlement forms with DoA approval and accounting entries</t>
        </is>
      </c>
      <c r="E135" s="162" t="n">
        <v>46309</v>
      </c>
      <c r="F135" s="160" t="n">
        <v>46314</v>
      </c>
      <c r="G135" s="158" t="inlineStr">
        <is>
          <t>—</t>
        </is>
      </c>
      <c r="H135" s="158" t="inlineStr">
        <is>
          <t>—</t>
        </is>
      </c>
      <c r="I135" s="158" t="inlineStr">
        <is>
          <t>Anas</t>
        </is>
      </c>
      <c r="J135" s="158" t="n"/>
      <c r="K135" s="158" t="n"/>
      <c r="L135" s="12" t="inlineStr">
        <is>
          <t>Not Started</t>
        </is>
      </c>
      <c r="M135" s="8" t="n">
        <v>0</v>
      </c>
    </row>
    <row r="136" hidden="1" ht="22.5" customHeight="1">
      <c r="A136" s="158" t="n">
        <v>135</v>
      </c>
      <c r="B136" s="14" t="inlineStr">
        <is>
          <t>Phase 2</t>
        </is>
      </c>
      <c r="C136" s="14" t="inlineStr">
        <is>
          <t>Dashboard &amp; Reporting</t>
        </is>
      </c>
      <c r="D136" s="14" t="inlineStr">
        <is>
          <t>Build reports R-01 to R-08 with Excel/PDF export</t>
        </is>
      </c>
      <c r="E136" s="162" t="n">
        <v>46315</v>
      </c>
      <c r="F136" s="160" t="n">
        <v>46321</v>
      </c>
      <c r="G136" s="158" t="inlineStr">
        <is>
          <t>—</t>
        </is>
      </c>
      <c r="H136" s="158" t="inlineStr">
        <is>
          <t>—</t>
        </is>
      </c>
      <c r="I136" s="158" t="inlineStr">
        <is>
          <t>Anas</t>
        </is>
      </c>
      <c r="J136" s="158" t="n"/>
      <c r="K136" s="158" t="n"/>
      <c r="L136" s="12" t="inlineStr">
        <is>
          <t>Not Started</t>
        </is>
      </c>
      <c r="M136" s="8" t="n">
        <v>0</v>
      </c>
    </row>
    <row r="137" hidden="1" ht="22.5" customHeight="1">
      <c r="A137" s="158" t="n">
        <v>136</v>
      </c>
      <c r="B137" s="14" t="inlineStr">
        <is>
          <t>Phase 2</t>
        </is>
      </c>
      <c r="C137" s="14" t="inlineStr">
        <is>
          <t>WHT / Treaty</t>
        </is>
      </c>
      <c r="D137" s="14" t="inlineStr">
        <is>
          <t>Build COR / DGT register screen with expiry tracking</t>
        </is>
      </c>
      <c r="E137" s="162" t="n">
        <v>46322</v>
      </c>
      <c r="F137" s="160" t="n">
        <v>46323</v>
      </c>
      <c r="G137" s="158" t="inlineStr">
        <is>
          <t>—</t>
        </is>
      </c>
      <c r="H137" s="158" t="inlineStr">
        <is>
          <t>—</t>
        </is>
      </c>
      <c r="I137" s="158" t="inlineStr">
        <is>
          <t>Anas</t>
        </is>
      </c>
      <c r="J137" s="158" t="n"/>
      <c r="K137" s="158" t="n"/>
      <c r="L137" s="12" t="inlineStr">
        <is>
          <t>Not Started</t>
        </is>
      </c>
      <c r="M137" s="8" t="n">
        <v>0</v>
      </c>
    </row>
    <row r="138" hidden="1" ht="22.5" customHeight="1">
      <c r="A138" s="158" t="n">
        <v>137</v>
      </c>
      <c r="B138" s="14" t="inlineStr">
        <is>
          <t>Phase 2</t>
        </is>
      </c>
      <c r="C138" s="14" t="inlineStr">
        <is>
          <t>Civil Works</t>
        </is>
      </c>
      <c r="D138" s="14" t="inlineStr">
        <is>
          <t>Build IUJK / SBU register screen with expiry tracking</t>
        </is>
      </c>
      <c r="E138" s="162" t="n">
        <v>46324</v>
      </c>
      <c r="F138" s="160" t="n">
        <v>46325</v>
      </c>
      <c r="G138" s="158" t="inlineStr">
        <is>
          <t>—</t>
        </is>
      </c>
      <c r="H138" s="158" t="inlineStr">
        <is>
          <t>—</t>
        </is>
      </c>
      <c r="I138" s="158" t="inlineStr">
        <is>
          <t>Anas</t>
        </is>
      </c>
      <c r="J138" s="158" t="n"/>
      <c r="K138" s="158" t="n"/>
      <c r="L138" s="12" t="inlineStr">
        <is>
          <t>Not Started</t>
        </is>
      </c>
      <c r="M138" s="8" t="n">
        <v>0</v>
      </c>
    </row>
    <row r="139" hidden="1" ht="22.5" customHeight="1">
      <c r="A139" s="158" t="n">
        <v>138</v>
      </c>
      <c r="B139" s="14" t="inlineStr">
        <is>
          <t>Phase 2</t>
        </is>
      </c>
      <c r="C139" s="14" t="inlineStr">
        <is>
          <t>Liquidated Damages</t>
        </is>
      </c>
      <c r="D139" s="14" t="inlineStr">
        <is>
          <t>Build LD / 17-Incoterm matrix screen</t>
        </is>
      </c>
      <c r="E139" s="162" t="n">
        <v>46322</v>
      </c>
      <c r="F139" s="160" t="n">
        <v>46323</v>
      </c>
      <c r="G139" s="158" t="inlineStr">
        <is>
          <t>—</t>
        </is>
      </c>
      <c r="H139" s="158" t="inlineStr">
        <is>
          <t>—</t>
        </is>
      </c>
      <c r="I139" s="158" t="inlineStr">
        <is>
          <t>Khalid</t>
        </is>
      </c>
      <c r="J139" s="158" t="n"/>
      <c r="K139" s="158" t="n"/>
      <c r="L139" s="12" t="inlineStr">
        <is>
          <t>Not Started</t>
        </is>
      </c>
      <c r="M139" s="8" t="n">
        <v>0</v>
      </c>
    </row>
    <row r="140" hidden="1" ht="22.5" customHeight="1">
      <c r="A140" s="158" t="n">
        <v>139</v>
      </c>
      <c r="B140" s="14" t="inlineStr">
        <is>
          <t>Phase 2</t>
        </is>
      </c>
      <c r="C140" s="14" t="inlineStr">
        <is>
          <t>Specialized Invoice Logic</t>
        </is>
      </c>
      <c r="D140" s="14" t="inlineStr">
        <is>
          <t>Build Natural Gas price tier matrix screen (LPG / Ammonia)</t>
        </is>
      </c>
      <c r="E140" s="162" t="n">
        <v>46324</v>
      </c>
      <c r="F140" s="160" t="n">
        <v>46325</v>
      </c>
      <c r="G140" s="158" t="inlineStr">
        <is>
          <t>—</t>
        </is>
      </c>
      <c r="H140" s="158" t="inlineStr">
        <is>
          <t>—</t>
        </is>
      </c>
      <c r="I140" s="158" t="inlineStr">
        <is>
          <t>Khalid</t>
        </is>
      </c>
      <c r="J140" s="158" t="n"/>
      <c r="K140" s="158" t="n"/>
      <c r="L140" s="12" t="inlineStr">
        <is>
          <t>Not Started</t>
        </is>
      </c>
      <c r="M140" s="8" t="n">
        <v>0</v>
      </c>
    </row>
    <row r="141" hidden="1" ht="34.5" customHeight="1">
      <c r="A141" s="158" t="n">
        <v>140</v>
      </c>
      <c r="B141" s="14" t="inlineStr">
        <is>
          <t>Phase 2</t>
        </is>
      </c>
      <c r="C141" s="14" t="inlineStr">
        <is>
          <t>Approval Workflow</t>
        </is>
      </c>
      <c r="D141" s="163" t="inlineStr">
        <is>
          <t>Build standalone Berita Acara / WPC record, DoA approval, SharePoint save and PO linking</t>
        </is>
      </c>
      <c r="E141" s="162" t="n">
        <v>46323</v>
      </c>
      <c r="F141" s="160" t="n">
        <v>46325</v>
      </c>
      <c r="G141" s="158" t="inlineStr">
        <is>
          <t>—</t>
        </is>
      </c>
      <c r="H141" s="158" t="inlineStr">
        <is>
          <t>—</t>
        </is>
      </c>
      <c r="I141" s="158" t="inlineStr">
        <is>
          <t>Natheera</t>
        </is>
      </c>
      <c r="J141" s="158" t="n"/>
      <c r="K141" s="158" t="n"/>
      <c r="L141" s="10" t="inlineStr">
        <is>
          <t>Not Started</t>
        </is>
      </c>
      <c r="M141" s="8" t="n">
        <v>0</v>
      </c>
    </row>
    <row r="142" hidden="1" ht="22.5" customHeight="1">
      <c r="A142" s="158" t="n">
        <v>141</v>
      </c>
      <c r="B142" s="14" t="inlineStr">
        <is>
          <t>Phase 2</t>
        </is>
      </c>
      <c r="C142" s="14" t="inlineStr">
        <is>
          <t>Performance</t>
        </is>
      </c>
      <c r="D142" s="163" t="inlineStr">
        <is>
          <t>Run performance and load testing (30 min / 2 hr processing, 25 concurrent users)</t>
        </is>
      </c>
      <c r="E142" s="162" t="n">
        <v>46330</v>
      </c>
      <c r="F142" s="160" t="n">
        <v>46332</v>
      </c>
      <c r="G142" s="158" t="inlineStr">
        <is>
          <t>—</t>
        </is>
      </c>
      <c r="H142" s="158" t="inlineStr">
        <is>
          <t>—</t>
        </is>
      </c>
      <c r="I142" s="158" t="inlineStr">
        <is>
          <t>Tester 3</t>
        </is>
      </c>
      <c r="J142" s="158" t="n"/>
      <c r="K142" s="158" t="n"/>
      <c r="L142" s="10" t="inlineStr">
        <is>
          <t>Not Started</t>
        </is>
      </c>
      <c r="M142" s="8" t="n">
        <v>0</v>
      </c>
    </row>
    <row r="143" hidden="1" ht="22.5" customHeight="1">
      <c r="A143" s="158" t="n">
        <v>142</v>
      </c>
      <c r="B143" s="164" t="inlineStr">
        <is>
          <t>Phase 2</t>
        </is>
      </c>
      <c r="C143" s="164" t="inlineStr">
        <is>
          <t>Phase 2 Consolidated E2E &amp; Phase 1 Regression</t>
        </is>
      </c>
      <c r="D143" s="172" t="inlineStr">
        <is>
          <t>Phase 2 end-to-end regression with full Phase 1 regression, bug fixes and retest</t>
        </is>
      </c>
      <c r="E143" s="167" t="n">
        <v>46336</v>
      </c>
      <c r="F143" s="167" t="n">
        <v>46339</v>
      </c>
      <c r="G143" s="168" t="inlineStr">
        <is>
          <t>—</t>
        </is>
      </c>
      <c r="H143" s="168" t="inlineStr">
        <is>
          <t>—</t>
        </is>
      </c>
      <c r="I143" s="168" t="inlineStr">
        <is>
          <t>Tester 1, Tester 2, Tester 3</t>
        </is>
      </c>
      <c r="J143" s="168" t="n"/>
      <c r="K143" s="168" t="n"/>
      <c r="L143" s="10" t="inlineStr">
        <is>
          <t>Not Started</t>
        </is>
      </c>
      <c r="M143" s="15" t="n">
        <v>0</v>
      </c>
    </row>
    <row r="144" hidden="1" ht="22.5" customHeight="1">
      <c r="A144" s="158" t="n">
        <v>143</v>
      </c>
      <c r="B144" s="164" t="inlineStr">
        <is>
          <t>Phase 2</t>
        </is>
      </c>
      <c r="C144" s="164" t="inlineStr">
        <is>
          <t>Specialized Invoice Functional / Scenario Testing</t>
        </is>
      </c>
      <c r="D144" s="173" t="inlineStr">
        <is>
          <t>Test Manpower invoice flow</t>
        </is>
      </c>
      <c r="E144" s="174" t="n">
        <v>46330</v>
      </c>
      <c r="F144" s="174" t="n">
        <v>46330</v>
      </c>
      <c r="G144" s="175" t="inlineStr">
        <is>
          <t>—</t>
        </is>
      </c>
      <c r="H144" s="175" t="inlineStr">
        <is>
          <t>—</t>
        </is>
      </c>
      <c r="I144" s="175" t="inlineStr">
        <is>
          <t>Tester 3</t>
        </is>
      </c>
      <c r="J144" s="175" t="n"/>
      <c r="K144" s="175" t="n"/>
      <c r="L144" s="10" t="inlineStr">
        <is>
          <t>Not Started</t>
        </is>
      </c>
      <c r="M144" s="19" t="n">
        <v>0</v>
      </c>
    </row>
    <row r="145" hidden="1" ht="22.5" customHeight="1">
      <c r="A145" s="158" t="n">
        <v>144</v>
      </c>
      <c r="B145" s="164" t="inlineStr">
        <is>
          <t>Phase 2</t>
        </is>
      </c>
      <c r="C145" s="164" t="inlineStr">
        <is>
          <t>Specialized Invoice Functional / Scenario Testing</t>
        </is>
      </c>
      <c r="D145" s="173" t="inlineStr">
        <is>
          <t>Test Civil Works (Construction) invoice flow</t>
        </is>
      </c>
      <c r="E145" s="174" t="n">
        <v>46330</v>
      </c>
      <c r="F145" s="174" t="n">
        <v>46330</v>
      </c>
      <c r="G145" s="175" t="inlineStr">
        <is>
          <t>—</t>
        </is>
      </c>
      <c r="H145" s="175" t="inlineStr">
        <is>
          <t>—</t>
        </is>
      </c>
      <c r="I145" s="175" t="inlineStr">
        <is>
          <t>Tester 1</t>
        </is>
      </c>
      <c r="J145" s="175" t="n"/>
      <c r="K145" s="175" t="n"/>
      <c r="L145" s="10" t="inlineStr">
        <is>
          <t>Not Started</t>
        </is>
      </c>
      <c r="M145" s="19" t="n">
        <v>0</v>
      </c>
    </row>
    <row r="146" hidden="1" ht="22.5" customHeight="1">
      <c r="A146" s="158" t="n">
        <v>145</v>
      </c>
      <c r="B146" s="164" t="inlineStr">
        <is>
          <t>Phase 2</t>
        </is>
      </c>
      <c r="C146" s="164" t="inlineStr">
        <is>
          <t>Specialized Invoice Functional / Scenario Testing</t>
        </is>
      </c>
      <c r="D146" s="173" t="inlineStr">
        <is>
          <t>Test Catering invoice flow</t>
        </is>
      </c>
      <c r="E146" s="174" t="n">
        <v>46331</v>
      </c>
      <c r="F146" s="174" t="n">
        <v>46331</v>
      </c>
      <c r="G146" s="175" t="inlineStr">
        <is>
          <t>—</t>
        </is>
      </c>
      <c r="H146" s="175" t="inlineStr">
        <is>
          <t>—</t>
        </is>
      </c>
      <c r="I146" s="175" t="inlineStr">
        <is>
          <t>Tester 2</t>
        </is>
      </c>
      <c r="J146" s="175" t="n"/>
      <c r="K146" s="175" t="n"/>
      <c r="L146" s="10" t="inlineStr">
        <is>
          <t>Not Started</t>
        </is>
      </c>
      <c r="M146" s="19" t="n">
        <v>0</v>
      </c>
    </row>
    <row r="147" hidden="1" ht="22.5" customHeight="1">
      <c r="A147" s="158" t="n">
        <v>146</v>
      </c>
      <c r="B147" s="164" t="inlineStr">
        <is>
          <t>Phase 2</t>
        </is>
      </c>
      <c r="C147" s="164" t="inlineStr">
        <is>
          <t>Specialized Invoice Functional / Scenario Testing</t>
        </is>
      </c>
      <c r="D147" s="173" t="inlineStr">
        <is>
          <t>Test Housekeeping invoice flow</t>
        </is>
      </c>
      <c r="E147" s="174" t="n">
        <v>46331</v>
      </c>
      <c r="F147" s="174" t="n">
        <v>46331</v>
      </c>
      <c r="G147" s="175" t="inlineStr">
        <is>
          <t>—</t>
        </is>
      </c>
      <c r="H147" s="175" t="inlineStr">
        <is>
          <t>—</t>
        </is>
      </c>
      <c r="I147" s="175" t="inlineStr">
        <is>
          <t>Tester 3</t>
        </is>
      </c>
      <c r="J147" s="175" t="n"/>
      <c r="K147" s="175" t="n"/>
      <c r="L147" s="10" t="inlineStr">
        <is>
          <t>Not Started</t>
        </is>
      </c>
      <c r="M147" s="19" t="n">
        <v>0</v>
      </c>
    </row>
    <row r="148" hidden="1" ht="22.5" customHeight="1">
      <c r="A148" s="158" t="n">
        <v>147</v>
      </c>
      <c r="B148" s="164" t="inlineStr">
        <is>
          <t>Phase 2</t>
        </is>
      </c>
      <c r="C148" s="164" t="inlineStr">
        <is>
          <t>Specialized Invoice Functional / Scenario Testing</t>
        </is>
      </c>
      <c r="D148" s="164" t="inlineStr">
        <is>
          <t>Test Composite PO invoice flow</t>
        </is>
      </c>
      <c r="E148" s="169" t="n">
        <v>46332</v>
      </c>
      <c r="F148" s="176" t="n">
        <v>46332</v>
      </c>
      <c r="G148" s="171" t="inlineStr">
        <is>
          <t>—</t>
        </is>
      </c>
      <c r="H148" s="171" t="inlineStr">
        <is>
          <t>—</t>
        </is>
      </c>
      <c r="I148" s="171" t="inlineStr">
        <is>
          <t>Tester 1</t>
        </is>
      </c>
      <c r="J148" s="171" t="n"/>
      <c r="K148" s="171" t="n"/>
      <c r="L148" s="10" t="inlineStr">
        <is>
          <t>Not Started</t>
        </is>
      </c>
      <c r="M148" s="16" t="n">
        <v>0</v>
      </c>
    </row>
    <row r="149" hidden="1" ht="22.5" customHeight="1">
      <c r="A149" s="158" t="n">
        <v>148</v>
      </c>
      <c r="B149" s="164" t="inlineStr">
        <is>
          <t>Phase 2</t>
        </is>
      </c>
      <c r="C149" s="164" t="inlineStr">
        <is>
          <t>Specialized Invoice Functional / Scenario Testing</t>
        </is>
      </c>
      <c r="D149" s="173" t="inlineStr">
        <is>
          <t>Test Natural Gas invoice flow</t>
        </is>
      </c>
      <c r="E149" s="174" t="n">
        <v>46332</v>
      </c>
      <c r="F149" s="177" t="n">
        <v>46332</v>
      </c>
      <c r="G149" s="175" t="inlineStr">
        <is>
          <t>—</t>
        </is>
      </c>
      <c r="H149" s="175" t="inlineStr">
        <is>
          <t>—</t>
        </is>
      </c>
      <c r="I149" s="175" t="inlineStr">
        <is>
          <t>Tester 2</t>
        </is>
      </c>
      <c r="J149" s="175" t="n"/>
      <c r="K149" s="175" t="n"/>
      <c r="L149" s="10" t="inlineStr">
        <is>
          <t>Not Started</t>
        </is>
      </c>
      <c r="M149" s="19" t="n">
        <v>0</v>
      </c>
    </row>
    <row r="150" hidden="1" ht="22.5" customHeight="1">
      <c r="A150" s="158" t="n">
        <v>149</v>
      </c>
      <c r="B150" s="178" t="inlineStr">
        <is>
          <t>SIT</t>
        </is>
      </c>
      <c r="C150" s="178" t="inlineStr">
        <is>
          <t>SIT Preparation &amp; Deployment</t>
        </is>
      </c>
      <c r="D150" s="178" t="inlineStr">
        <is>
          <t>Prepare SIT build, test data, expected results and deploy/validate the SIT environment.</t>
        </is>
      </c>
      <c r="E150" s="179" t="n">
        <v>46342</v>
      </c>
      <c r="F150" s="179" t="n">
        <v>46342</v>
      </c>
      <c r="G150" s="180" t="inlineStr">
        <is>
          <t>—</t>
        </is>
      </c>
      <c r="H150" s="180" t="inlineStr">
        <is>
          <t>—</t>
        </is>
      </c>
      <c r="I150" s="180" t="inlineStr">
        <is>
          <t>Tester 1, Tester 2, Tester 3</t>
        </is>
      </c>
      <c r="J150" s="180" t="n"/>
      <c r="K150" s="180" t="n"/>
      <c r="L150" s="18" t="inlineStr">
        <is>
          <t>Not Started</t>
        </is>
      </c>
      <c r="M150" s="20" t="n">
        <v>0</v>
      </c>
    </row>
    <row r="151" hidden="1" ht="22.5" customHeight="1">
      <c r="A151" s="158" t="n">
        <v>150</v>
      </c>
      <c r="B151" s="178" t="inlineStr">
        <is>
          <t>SIT</t>
        </is>
      </c>
      <c r="C151" s="178" t="inlineStr">
        <is>
          <t>Internal SIT / Full Regression</t>
        </is>
      </c>
      <c r="D151" s="178" t="inlineStr">
        <is>
          <t>Run internal full-stack, AI, SAP/RPA, business-rule, security and regression suite across Phase 1 + Phase 2.</t>
        </is>
      </c>
      <c r="E151" s="179" t="n">
        <v>46343</v>
      </c>
      <c r="F151" s="179" t="n">
        <v>46343</v>
      </c>
      <c r="G151" s="180" t="inlineStr">
        <is>
          <t>—</t>
        </is>
      </c>
      <c r="H151" s="180" t="inlineStr">
        <is>
          <t>—</t>
        </is>
      </c>
      <c r="I151" s="180" t="inlineStr">
        <is>
          <t>Tester 1, Tester 2, Tester 3</t>
        </is>
      </c>
      <c r="J151" s="180" t="n"/>
      <c r="K151" s="180" t="n"/>
      <c r="L151" s="18" t="inlineStr">
        <is>
          <t>Not Started</t>
        </is>
      </c>
      <c r="M151" s="20" t="n">
        <v>0</v>
      </c>
    </row>
    <row r="152" hidden="1" ht="22.5" customHeight="1">
      <c r="A152" s="158" t="n">
        <v>151</v>
      </c>
      <c r="B152" s="14" t="inlineStr">
        <is>
          <t>SIT</t>
        </is>
      </c>
      <c r="C152" s="14" t="inlineStr">
        <is>
          <t>Security Testing</t>
        </is>
      </c>
      <c r="D152" s="163" t="inlineStr">
        <is>
          <t>Run security / penetration testing and complete CSOC checklist</t>
        </is>
      </c>
      <c r="E152" s="162" t="n">
        <v>46342</v>
      </c>
      <c r="F152" s="160" t="n">
        <v>46345</v>
      </c>
      <c r="G152" s="158" t="inlineStr">
        <is>
          <t>—</t>
        </is>
      </c>
      <c r="H152" s="158" t="inlineStr">
        <is>
          <t>—</t>
        </is>
      </c>
      <c r="I152" s="158" t="inlineStr">
        <is>
          <t>Pranay</t>
        </is>
      </c>
      <c r="J152" s="158" t="n"/>
      <c r="K152" s="158" t="n"/>
      <c r="L152" s="10" t="inlineStr">
        <is>
          <t>Not Started</t>
        </is>
      </c>
      <c r="M152" s="8" t="n">
        <v>0</v>
      </c>
    </row>
    <row r="153" hidden="1" ht="22.5" customHeight="1">
      <c r="A153" s="158" t="n">
        <v>152</v>
      </c>
      <c r="B153" s="178" t="inlineStr">
        <is>
          <t>SIT</t>
        </is>
      </c>
      <c r="C153" s="178" t="inlineStr">
        <is>
          <t>ESSA SIT / UAT Readiness</t>
        </is>
      </c>
      <c r="D153" s="178" t="inlineStr">
        <is>
          <t>Execute ESSA pre-UAT verification, retest resolved defects and confirm UAT entry criteria.</t>
        </is>
      </c>
      <c r="E153" s="179" t="n">
        <v>46344</v>
      </c>
      <c r="F153" s="179" t="n">
        <v>46344</v>
      </c>
      <c r="G153" s="180" t="inlineStr">
        <is>
          <t>—</t>
        </is>
      </c>
      <c r="H153" s="180" t="inlineStr">
        <is>
          <t>—</t>
        </is>
      </c>
      <c r="I153" s="180" t="inlineStr">
        <is>
          <t>Tester 1, Tester 2, Tester 3</t>
        </is>
      </c>
      <c r="J153" s="180" t="n"/>
      <c r="K153" s="180" t="n"/>
      <c r="L153" s="18" t="inlineStr">
        <is>
          <t>Not Started</t>
        </is>
      </c>
      <c r="M153" s="20" t="n">
        <v>0</v>
      </c>
    </row>
    <row r="154" hidden="1" ht="22.5" customHeight="1">
      <c r="A154" s="158" t="n">
        <v>153</v>
      </c>
      <c r="B154" s="181" t="inlineStr">
        <is>
          <t>UAT</t>
        </is>
      </c>
      <c r="C154" s="181" t="inlineStr">
        <is>
          <t>UAT / Defect Resolution / Sign-Off</t>
        </is>
      </c>
      <c r="D154" s="181" t="inlineStr">
        <is>
          <t>Execute formal UAT, manage defects, perform regression/retest and obtain UAT sign-off.</t>
        </is>
      </c>
      <c r="E154" s="182" t="n">
        <v>46345</v>
      </c>
      <c r="F154" s="182" t="n">
        <v>46351</v>
      </c>
      <c r="G154" s="183" t="inlineStr">
        <is>
          <t>—</t>
        </is>
      </c>
      <c r="H154" s="183" t="inlineStr">
        <is>
          <t>—</t>
        </is>
      </c>
      <c r="I154" s="183" t="inlineStr">
        <is>
          <t>Tester 1, Tester 2, Tester 3, ESSA</t>
        </is>
      </c>
      <c r="J154" s="183" t="n"/>
      <c r="K154" s="183" t="n"/>
      <c r="L154" s="18" t="inlineStr">
        <is>
          <t>Not Started</t>
        </is>
      </c>
      <c r="M154" s="21" t="n">
        <v>0</v>
      </c>
    </row>
    <row r="155" hidden="1" ht="22.5" customHeight="1">
      <c r="A155" s="158" t="n">
        <v>154</v>
      </c>
      <c r="B155" s="14" t="inlineStr">
        <is>
          <t>Production Deployment</t>
        </is>
      </c>
      <c r="C155" s="14" t="inlineStr">
        <is>
          <t>Operations Readiness</t>
        </is>
      </c>
      <c r="D155" s="163" t="inlineStr">
        <is>
          <t>Prepare operations runbook and support handover</t>
        </is>
      </c>
      <c r="E155" s="162" t="n">
        <v>46346</v>
      </c>
      <c r="F155" s="160" t="n">
        <v>46349</v>
      </c>
      <c r="G155" s="158" t="inlineStr">
        <is>
          <t>—</t>
        </is>
      </c>
      <c r="H155" s="158" t="inlineStr">
        <is>
          <t>—</t>
        </is>
      </c>
      <c r="I155" s="158" t="inlineStr">
        <is>
          <t>Pranay</t>
        </is>
      </c>
      <c r="J155" s="158" t="n"/>
      <c r="K155" s="158" t="n"/>
      <c r="L155" s="10" t="inlineStr">
        <is>
          <t>Not Started</t>
        </is>
      </c>
      <c r="M155" s="8" t="n">
        <v>0</v>
      </c>
    </row>
    <row r="156" hidden="1" ht="22.5" customHeight="1">
      <c r="A156" s="158" t="n">
        <v>155</v>
      </c>
      <c r="B156" s="14" t="inlineStr">
        <is>
          <t>Production Deployment</t>
        </is>
      </c>
      <c r="C156" s="14" t="inlineStr">
        <is>
          <t>Training</t>
        </is>
      </c>
      <c r="D156" s="163" t="inlineStr">
        <is>
          <t>Prepare user manual and conduct user training</t>
        </is>
      </c>
      <c r="E156" s="162" t="n">
        <v>46338</v>
      </c>
      <c r="F156" s="160" t="n">
        <v>46344</v>
      </c>
      <c r="G156" s="158" t="inlineStr">
        <is>
          <t>—</t>
        </is>
      </c>
      <c r="H156" s="158" t="inlineStr">
        <is>
          <t>—</t>
        </is>
      </c>
      <c r="I156" s="158" t="inlineStr">
        <is>
          <t>Robinson</t>
        </is>
      </c>
      <c r="J156" s="158" t="n"/>
      <c r="K156" s="158" t="n"/>
      <c r="L156" s="10" t="inlineStr">
        <is>
          <t>Not Started</t>
        </is>
      </c>
      <c r="M156" s="8" t="n">
        <v>0</v>
      </c>
    </row>
    <row r="157" hidden="1" ht="22.5" customHeight="1">
      <c r="A157" s="158" t="n">
        <v>156</v>
      </c>
      <c r="B157" s="159" t="inlineStr">
        <is>
          <t>Production Deployment</t>
        </is>
      </c>
      <c r="C157" s="159" t="inlineStr">
        <is>
          <t>Production Readiness &amp; Cutover</t>
        </is>
      </c>
      <c r="D157" s="159" t="inlineStr">
        <is>
          <t>Production readiness — environment validation, release/branch freeze, SAP/RPA connectivity checks &amp; cutover checklist</t>
        </is>
      </c>
      <c r="E157" s="160" t="n">
        <v>46352</v>
      </c>
      <c r="F157" s="160" t="n">
        <v>46353</v>
      </c>
      <c r="G157" s="158" t="inlineStr">
        <is>
          <t>—</t>
        </is>
      </c>
      <c r="H157" s="158" t="inlineStr">
        <is>
          <t>—</t>
        </is>
      </c>
      <c r="I157" s="158" t="inlineStr">
        <is>
          <t>Pranay</t>
        </is>
      </c>
      <c r="J157" s="158" t="n"/>
      <c r="K157" s="158" t="n"/>
      <c r="L157" s="18" t="inlineStr">
        <is>
          <t>Not Started</t>
        </is>
      </c>
      <c r="M157" s="8" t="n">
        <v>0</v>
      </c>
    </row>
    <row r="158" hidden="1" ht="22.5" customHeight="1">
      <c r="A158" s="158" t="n">
        <v>157</v>
      </c>
      <c r="B158" s="159" t="inlineStr">
        <is>
          <t>Production Deployment</t>
        </is>
      </c>
      <c r="C158" s="159" t="inlineStr">
        <is>
          <t>Production Readiness &amp; Cutover</t>
        </is>
      </c>
      <c r="D158" s="159" t="inlineStr">
        <is>
          <t>Production readiness — backend/DB/config migration cutover &amp; smoke test support</t>
        </is>
      </c>
      <c r="E158" s="160" t="n">
        <v>46352</v>
      </c>
      <c r="F158" s="160" t="n">
        <v>46353</v>
      </c>
      <c r="G158" s="158" t="inlineStr">
        <is>
          <t>—</t>
        </is>
      </c>
      <c r="H158" s="158" t="inlineStr">
        <is>
          <t>—</t>
        </is>
      </c>
      <c r="I158" s="158" t="inlineStr">
        <is>
          <t>Rahul</t>
        </is>
      </c>
      <c r="J158" s="158" t="n"/>
      <c r="K158" s="158" t="n"/>
      <c r="L158" s="18" t="inlineStr">
        <is>
          <t>Not Started</t>
        </is>
      </c>
      <c r="M158" s="8" t="n">
        <v>0</v>
      </c>
    </row>
    <row r="159" ht="22.5" customHeight="1">
      <c r="A159" s="158" t="n">
        <v>158</v>
      </c>
      <c r="B159" s="159" t="inlineStr">
        <is>
          <t>Production Deployment</t>
        </is>
      </c>
      <c r="C159" s="159" t="inlineStr">
        <is>
          <t>Production Readiness &amp; Cutover</t>
        </is>
      </c>
      <c r="D159" s="159" t="inlineStr">
        <is>
          <t>Production readiness — UI/configuration validation &amp; smoke test support</t>
        </is>
      </c>
      <c r="E159" s="160" t="n">
        <v>46352</v>
      </c>
      <c r="F159" s="160" t="n">
        <v>46353</v>
      </c>
      <c r="G159" s="158" t="inlineStr">
        <is>
          <t>—</t>
        </is>
      </c>
      <c r="H159" s="158" t="inlineStr">
        <is>
          <t>—</t>
        </is>
      </c>
      <c r="I159" s="158" t="inlineStr">
        <is>
          <t>Sabrina</t>
        </is>
      </c>
      <c r="J159" s="158" t="n"/>
      <c r="K159" s="158" t="n"/>
      <c r="L159" s="18" t="inlineStr">
        <is>
          <t>Not Started</t>
        </is>
      </c>
      <c r="M159" s="8" t="n">
        <v>0</v>
      </c>
    </row>
    <row r="160" hidden="1" ht="22.5" customHeight="1">
      <c r="A160" s="201" t="n">
        <v>159</v>
      </c>
      <c r="B160" s="205" t="inlineStr">
        <is>
          <t>Production Deployment</t>
        </is>
      </c>
      <c r="C160" s="205" t="inlineStr">
        <is>
          <t>Production Readiness &amp; Cutover</t>
        </is>
      </c>
      <c r="D160" s="205" t="inlineStr">
        <is>
          <t>Production readiness — SAP integration connectivity verification</t>
        </is>
      </c>
      <c r="E160" s="204" t="n">
        <v>46352</v>
      </c>
      <c r="F160" s="204" t="n">
        <v>46353</v>
      </c>
      <c r="G160" s="201" t="inlineStr">
        <is>
          <t>—</t>
        </is>
      </c>
      <c r="H160" s="201" t="inlineStr">
        <is>
          <t>—</t>
        </is>
      </c>
      <c r="I160" s="201" t="inlineStr">
        <is>
          <t>Anas</t>
        </is>
      </c>
      <c r="J160" s="201" t="n"/>
      <c r="K160" s="201" t="n"/>
      <c r="L160" s="18" t="inlineStr">
        <is>
          <t>Not Started</t>
        </is>
      </c>
      <c r="M160" s="8" t="n">
        <v>0</v>
      </c>
    </row>
    <row r="161" hidden="1" ht="21.75" customHeight="1">
      <c r="A161" s="158" t="n">
        <v>160</v>
      </c>
      <c r="B161" s="159" t="inlineStr">
        <is>
          <t>Production Deployment</t>
        </is>
      </c>
      <c r="C161" s="159" t="inlineStr">
        <is>
          <t>Production Go-Live</t>
        </is>
      </c>
      <c r="D161" s="159" t="inlineStr">
        <is>
          <t>Go-Live — deploy approved production release</t>
        </is>
      </c>
      <c r="E161" s="160" t="n">
        <v>46356</v>
      </c>
      <c r="F161" s="160" t="n">
        <v>46356</v>
      </c>
      <c r="G161" s="158" t="inlineStr">
        <is>
          <t>—</t>
        </is>
      </c>
      <c r="H161" s="158" t="inlineStr">
        <is>
          <t>—</t>
        </is>
      </c>
      <c r="I161" s="158" t="inlineStr">
        <is>
          <t>Pranay</t>
        </is>
      </c>
      <c r="J161" s="158" t="n"/>
      <c r="K161" s="158" t="n"/>
      <c r="L161" s="18" t="inlineStr">
        <is>
          <t>Not Started</t>
        </is>
      </c>
      <c r="M161" s="8" t="n">
        <v>0</v>
      </c>
    </row>
    <row r="162" hidden="1" ht="21.75" customHeight="1">
      <c r="A162" s="158" t="n">
        <v>161</v>
      </c>
      <c r="B162" s="159" t="inlineStr">
        <is>
          <t>Production Deployment</t>
        </is>
      </c>
      <c r="C162" s="159" t="inlineStr">
        <is>
          <t>Production Go-Live</t>
        </is>
      </c>
      <c r="D162" s="159" t="inlineStr">
        <is>
          <t>Go-Live — backend smoke test, integration verification &amp; rapid fix support</t>
        </is>
      </c>
      <c r="E162" s="160" t="n">
        <v>46356</v>
      </c>
      <c r="F162" s="160" t="n">
        <v>46356</v>
      </c>
      <c r="G162" s="158" t="inlineStr">
        <is>
          <t>—</t>
        </is>
      </c>
      <c r="H162" s="158" t="inlineStr">
        <is>
          <t>—</t>
        </is>
      </c>
      <c r="I162" s="158" t="inlineStr">
        <is>
          <t>Rahul</t>
        </is>
      </c>
      <c r="J162" s="158" t="n"/>
      <c r="K162" s="158" t="n"/>
      <c r="L162" s="18" t="inlineStr">
        <is>
          <t>Not Started</t>
        </is>
      </c>
      <c r="M162" s="8" t="n">
        <v>0</v>
      </c>
    </row>
    <row r="163" ht="21.75" customHeight="1">
      <c r="A163" s="158" t="n">
        <v>162</v>
      </c>
      <c r="B163" s="159" t="inlineStr">
        <is>
          <t>Production Deployment</t>
        </is>
      </c>
      <c r="C163" s="159" t="inlineStr">
        <is>
          <t>Production Go-Live</t>
        </is>
      </c>
      <c r="D163" s="159" t="inlineStr">
        <is>
          <t>Go-Live — UI smoke test &amp; rapid fix support</t>
        </is>
      </c>
      <c r="E163" s="160" t="n">
        <v>46356</v>
      </c>
      <c r="F163" s="160" t="n">
        <v>46356</v>
      </c>
      <c r="G163" s="158" t="inlineStr">
        <is>
          <t>—</t>
        </is>
      </c>
      <c r="H163" s="158" t="inlineStr">
        <is>
          <t>—</t>
        </is>
      </c>
      <c r="I163" s="158" t="inlineStr">
        <is>
          <t>Sabrina</t>
        </is>
      </c>
      <c r="J163" s="158" t="n"/>
      <c r="K163" s="158" t="n"/>
      <c r="L163" s="18" t="inlineStr">
        <is>
          <t>Not Started</t>
        </is>
      </c>
      <c r="M163" s="8" t="n">
        <v>0</v>
      </c>
    </row>
    <row r="164" hidden="1" ht="21.75" customHeight="1">
      <c r="A164" s="201" t="n">
        <v>163</v>
      </c>
      <c r="B164" s="205" t="inlineStr">
        <is>
          <t>Production Deployment</t>
        </is>
      </c>
      <c r="C164" s="205" t="inlineStr">
        <is>
          <t>Production Go-Live</t>
        </is>
      </c>
      <c r="D164" s="205" t="inlineStr">
        <is>
          <t>Go-Live — SAP/RPA integration validation</t>
        </is>
      </c>
      <c r="E164" s="204" t="n">
        <v>46356</v>
      </c>
      <c r="F164" s="204" t="n">
        <v>46356</v>
      </c>
      <c r="G164" s="201" t="inlineStr">
        <is>
          <t>—</t>
        </is>
      </c>
      <c r="H164" s="201" t="inlineStr">
        <is>
          <t>—</t>
        </is>
      </c>
      <c r="I164" s="201" t="inlineStr">
        <is>
          <t>Anas</t>
        </is>
      </c>
      <c r="J164" s="201" t="n"/>
      <c r="K164" s="201" t="n"/>
      <c r="L164" s="18" t="inlineStr">
        <is>
          <t>Not Started</t>
        </is>
      </c>
      <c r="M164" s="8" t="n">
        <v>0</v>
      </c>
    </row>
    <row r="165" hidden="1" ht="21.75" customHeight="1">
      <c r="A165" s="158" t="n">
        <v>164</v>
      </c>
      <c r="B165" s="159" t="inlineStr">
        <is>
          <t>Production Deployment</t>
        </is>
      </c>
      <c r="C165" s="159" t="inlineStr">
        <is>
          <t>Production Go-Live</t>
        </is>
      </c>
      <c r="D165" s="159" t="inlineStr">
        <is>
          <t>Go-Live — business confirmation &amp; hypercare handover acceptance</t>
        </is>
      </c>
      <c r="E165" s="160" t="n">
        <v>46356</v>
      </c>
      <c r="F165" s="160" t="n">
        <v>46356</v>
      </c>
      <c r="G165" s="158" t="inlineStr">
        <is>
          <t>—</t>
        </is>
      </c>
      <c r="H165" s="158" t="inlineStr">
        <is>
          <t>—</t>
        </is>
      </c>
      <c r="I165" s="158" t="inlineStr">
        <is>
          <t>ESSA</t>
        </is>
      </c>
      <c r="J165" s="158" t="n"/>
      <c r="K165" s="158" t="n"/>
      <c r="L165" s="18" t="inlineStr">
        <is>
          <t>Not Started</t>
        </is>
      </c>
      <c r="M165" s="8" t="n">
        <v>0</v>
      </c>
    </row>
    <row r="166" hidden="1" ht="22.5" customHeight="1">
      <c r="A166" s="158" t="n">
        <v>165</v>
      </c>
      <c r="B166" s="164" t="inlineStr">
        <is>
          <t>Hypercare</t>
        </is>
      </c>
      <c r="C166" s="164" t="inlineStr">
        <is>
          <t>Hypercare &amp; Stabilization</t>
        </is>
      </c>
      <c r="D166" s="164" t="inlineStr">
        <is>
          <t>Hypercare support, defect fixing and stabilization after go-live</t>
        </is>
      </c>
      <c r="E166" s="169" t="n">
        <v>46357</v>
      </c>
      <c r="F166" s="170" t="n">
        <v>46370</v>
      </c>
      <c r="G166" s="171" t="inlineStr">
        <is>
          <t>—</t>
        </is>
      </c>
      <c r="H166" s="171" t="inlineStr">
        <is>
          <t>—</t>
        </is>
      </c>
      <c r="I166" s="171" t="inlineStr">
        <is>
          <t>Rahul, Sabrina, Anas, Natheera, Khalid</t>
        </is>
      </c>
      <c r="J166" s="171" t="n"/>
      <c r="K166" s="171" t="n"/>
      <c r="L166" s="10" t="inlineStr">
        <is>
          <t>Not Started</t>
        </is>
      </c>
      <c r="M166" s="16" t="n">
        <v>0</v>
      </c>
    </row>
    <row r="167" hidden="1" ht="22.5" customHeight="1">
      <c r="A167" s="158" t="n">
        <v>166</v>
      </c>
      <c r="B167" s="159" t="inlineStr">
        <is>
          <t>Project Management</t>
        </is>
      </c>
      <c r="C167" s="159" t="inlineStr">
        <is>
          <t>Project Management</t>
        </is>
      </c>
      <c r="D167" s="159" t="inlineStr">
        <is>
          <t>Project governance, status reporting, RAID/dependency management, client coordination, release governance and closure.</t>
        </is>
      </c>
      <c r="E167" s="160" t="n">
        <v>46231</v>
      </c>
      <c r="F167" s="160" t="n">
        <v>46400</v>
      </c>
      <c r="G167" s="160" t="n">
        <v>46231</v>
      </c>
      <c r="H167" s="158" t="inlineStr">
        <is>
          <t>—</t>
        </is>
      </c>
      <c r="I167" s="158" t="inlineStr">
        <is>
          <t>Robinson</t>
        </is>
      </c>
      <c r="J167" s="158" t="n"/>
      <c r="K167" s="158" t="n"/>
      <c r="L167" s="22" t="inlineStr">
        <is>
          <t>In Progress</t>
        </is>
      </c>
      <c r="M167" s="6" t="inlineStr">
        <is>
          <t>—</t>
        </is>
      </c>
    </row>
    <row r="168" hidden="1" ht="14.25" customHeight="1">
      <c r="A168" s="23" t="inlineStr">
        <is>
          <t> </t>
        </is>
      </c>
      <c r="B168" s="24" t="inlineStr">
        <is>
          <t> </t>
        </is>
      </c>
      <c r="C168" s="24" t="inlineStr">
        <is>
          <t> </t>
        </is>
      </c>
      <c r="D168" s="24" t="inlineStr">
        <is>
          <t> </t>
        </is>
      </c>
      <c r="E168" s="25" t="inlineStr">
        <is>
          <t> </t>
        </is>
      </c>
      <c r="F168" s="25" t="inlineStr">
        <is>
          <t> </t>
        </is>
      </c>
      <c r="G168" s="25" t="inlineStr">
        <is>
          <t> </t>
        </is>
      </c>
      <c r="H168" s="25" t="inlineStr">
        <is>
          <t> </t>
        </is>
      </c>
      <c r="I168" s="25" t="inlineStr">
        <is>
          <t> </t>
        </is>
      </c>
      <c r="J168" s="25" t="n"/>
      <c r="K168" s="25" t="n"/>
      <c r="L168" s="25" t="inlineStr">
        <is>
          <t> </t>
        </is>
      </c>
      <c r="M168" s="25" t="inlineStr">
        <is>
          <t> </t>
        </is>
      </c>
    </row>
    <row r="169" ht="14.25" customHeight="1">
      <c r="A169" s="23" t="n"/>
      <c r="B169" s="24" t="n"/>
      <c r="C169" s="24" t="n"/>
      <c r="D169" s="24" t="n"/>
      <c r="E169" s="25" t="n"/>
      <c r="F169" s="25" t="n"/>
      <c r="G169" s="25" t="n"/>
      <c r="H169" s="25" t="n"/>
      <c r="I169" s="25" t="n"/>
      <c r="J169" s="25" t="n"/>
      <c r="K169" s="25" t="n"/>
      <c r="L169" s="25" t="n"/>
      <c r="M169" s="25" t="n"/>
    </row>
    <row r="170" ht="14.25" customHeight="1">
      <c r="A170" s="23" t="n"/>
      <c r="B170" s="24" t="n"/>
      <c r="C170" s="24" t="n"/>
      <c r="D170" s="24" t="n"/>
      <c r="E170" s="25" t="n"/>
      <c r="F170" s="25" t="n"/>
      <c r="G170" s="25" t="n"/>
      <c r="H170" s="25" t="n"/>
      <c r="I170" s="25" t="n"/>
      <c r="J170" s="25" t="n"/>
      <c r="K170" s="25" t="n"/>
      <c r="L170" s="25" t="n"/>
      <c r="M170" s="25" t="n"/>
    </row>
    <row r="171" ht="14.25" customHeight="1">
      <c r="A171" s="23" t="n"/>
      <c r="B171" s="24" t="n"/>
      <c r="C171" s="24" t="n"/>
      <c r="D171" s="24" t="n"/>
      <c r="E171" s="25" t="n"/>
      <c r="F171" s="25" t="n"/>
      <c r="G171" s="25" t="n"/>
      <c r="H171" s="25" t="n"/>
      <c r="I171" s="25" t="n"/>
      <c r="J171" s="25" t="n"/>
      <c r="K171" s="25" t="n"/>
      <c r="L171" s="25" t="n"/>
      <c r="M171" s="25" t="n"/>
    </row>
    <row r="172" ht="14.25" customHeight="1">
      <c r="A172" s="23" t="n"/>
      <c r="B172" s="24" t="n"/>
      <c r="C172" s="24" t="n"/>
      <c r="D172" s="24" t="n"/>
      <c r="E172" s="25" t="n"/>
      <c r="F172" s="25" t="n"/>
      <c r="G172" s="25" t="n"/>
      <c r="H172" s="25" t="n"/>
      <c r="I172" s="25" t="n"/>
      <c r="J172" s="25" t="n"/>
      <c r="K172" s="25" t="n"/>
      <c r="L172" s="25" t="n"/>
      <c r="M172" s="25" t="n"/>
    </row>
    <row r="173" ht="14.25" customHeight="1">
      <c r="A173" s="23" t="n"/>
      <c r="B173" s="24" t="n"/>
      <c r="C173" s="24" t="n"/>
      <c r="D173" s="24" t="n"/>
      <c r="E173" s="25" t="n"/>
      <c r="F173" s="25" t="n"/>
      <c r="G173" s="25" t="n"/>
      <c r="H173" s="25" t="n"/>
      <c r="I173" s="25" t="n"/>
      <c r="J173" s="25" t="n"/>
      <c r="K173" s="25" t="n"/>
      <c r="L173" s="25" t="n"/>
      <c r="M173" s="25" t="n"/>
    </row>
    <row r="174" ht="14.25" customHeight="1">
      <c r="A174" s="23" t="n"/>
      <c r="B174" s="24" t="n"/>
      <c r="C174" s="24" t="n"/>
      <c r="D174" s="24" t="n"/>
      <c r="E174" s="25" t="n"/>
      <c r="F174" s="25" t="n"/>
      <c r="G174" s="25" t="n"/>
      <c r="H174" s="25" t="n"/>
      <c r="I174" s="25" t="n"/>
      <c r="J174" s="25" t="n"/>
      <c r="K174" s="25" t="n"/>
      <c r="L174" s="25" t="n"/>
      <c r="M174" s="25" t="n"/>
    </row>
    <row r="175" ht="14.25" customHeight="1">
      <c r="A175" s="23" t="n"/>
      <c r="B175" s="24" t="n"/>
      <c r="C175" s="24" t="n"/>
      <c r="D175" s="24" t="n"/>
      <c r="E175" s="25" t="n"/>
      <c r="F175" s="25" t="n"/>
      <c r="G175" s="25" t="n"/>
      <c r="H175" s="25" t="n"/>
      <c r="I175" s="25" t="n"/>
      <c r="J175" s="25" t="n"/>
      <c r="K175" s="25" t="n"/>
      <c r="L175" s="25" t="n"/>
      <c r="M175" s="25" t="n"/>
    </row>
    <row r="176" ht="14.25" customHeight="1">
      <c r="A176" s="23" t="n"/>
      <c r="B176" s="24" t="n"/>
      <c r="C176" s="24" t="n"/>
      <c r="D176" s="24" t="n"/>
      <c r="E176" s="25" t="n"/>
      <c r="F176" s="25" t="n"/>
      <c r="G176" s="25" t="n"/>
      <c r="H176" s="25" t="n"/>
      <c r="I176" s="25" t="n"/>
      <c r="J176" s="25" t="n"/>
      <c r="K176" s="25" t="n"/>
      <c r="L176" s="25" t="n"/>
      <c r="M176" s="25" t="n"/>
    </row>
    <row r="177" ht="14.25" customHeight="1">
      <c r="A177" s="23" t="n"/>
      <c r="B177" s="24" t="n"/>
      <c r="C177" s="24" t="n"/>
      <c r="D177" s="24" t="n"/>
      <c r="E177" s="25" t="n"/>
      <c r="F177" s="25" t="n"/>
      <c r="G177" s="25" t="n"/>
      <c r="H177" s="25" t="n"/>
      <c r="I177" s="25" t="n"/>
      <c r="J177" s="25" t="n"/>
      <c r="K177" s="25" t="n"/>
      <c r="L177" s="25" t="n"/>
      <c r="M177" s="25" t="n"/>
    </row>
    <row r="178" ht="14.25" customHeight="1">
      <c r="A178" s="23" t="n"/>
      <c r="B178" s="24" t="n"/>
      <c r="C178" s="24" t="n"/>
      <c r="D178" s="24" t="n"/>
      <c r="E178" s="25" t="n"/>
      <c r="F178" s="25" t="n"/>
      <c r="G178" s="25" t="n"/>
      <c r="H178" s="25" t="n"/>
      <c r="I178" s="25" t="n"/>
      <c r="J178" s="25" t="n"/>
      <c r="K178" s="25" t="n"/>
      <c r="L178" s="25" t="n"/>
      <c r="M178" s="25" t="n"/>
    </row>
    <row r="179" ht="14.25" customHeight="1">
      <c r="A179" s="23" t="n"/>
      <c r="B179" s="24" t="n"/>
      <c r="C179" s="24" t="n"/>
      <c r="D179" s="24" t="n"/>
      <c r="E179" s="25" t="n"/>
      <c r="F179" s="25" t="n"/>
      <c r="G179" s="25" t="n"/>
      <c r="H179" s="25" t="n"/>
      <c r="I179" s="25" t="n"/>
      <c r="J179" s="25" t="n"/>
      <c r="K179" s="25" t="n"/>
      <c r="L179" s="25" t="n"/>
      <c r="M179" s="25" t="n"/>
    </row>
    <row r="180" ht="14.25" customHeight="1">
      <c r="A180" s="23" t="n"/>
      <c r="B180" s="24" t="n"/>
      <c r="C180" s="24" t="n"/>
      <c r="D180" s="24" t="n"/>
      <c r="E180" s="25" t="n"/>
      <c r="F180" s="25" t="n"/>
      <c r="G180" s="25" t="n"/>
      <c r="H180" s="25" t="n"/>
      <c r="I180" s="25" t="n"/>
      <c r="J180" s="25" t="n"/>
      <c r="K180" s="25" t="n"/>
      <c r="L180" s="25" t="n"/>
      <c r="M180" s="25" t="n"/>
    </row>
    <row r="181" ht="14.25" customHeight="1">
      <c r="A181" s="23" t="n"/>
      <c r="B181" s="24" t="n"/>
      <c r="C181" s="24" t="n"/>
      <c r="D181" s="24" t="n"/>
      <c r="E181" s="25" t="n"/>
      <c r="F181" s="25" t="n"/>
      <c r="G181" s="25" t="n"/>
      <c r="H181" s="25" t="n"/>
      <c r="I181" s="25" t="n"/>
      <c r="J181" s="25" t="n"/>
      <c r="K181" s="25" t="n"/>
      <c r="L181" s="25" t="n"/>
      <c r="M181" s="25" t="n"/>
    </row>
    <row r="182" ht="14.25" customHeight="1">
      <c r="A182" s="23" t="n"/>
      <c r="B182" s="24" t="n"/>
      <c r="C182" s="24" t="n"/>
      <c r="D182" s="24" t="n"/>
      <c r="E182" s="25" t="n"/>
      <c r="F182" s="25" t="n"/>
      <c r="G182" s="25" t="n"/>
      <c r="H182" s="25" t="n"/>
      <c r="I182" s="25" t="n"/>
      <c r="J182" s="25" t="n"/>
      <c r="K182" s="25" t="n"/>
      <c r="L182" s="25" t="n"/>
      <c r="M182" s="25" t="n"/>
    </row>
    <row r="183" ht="14.25" customHeight="1">
      <c r="A183" s="23" t="n"/>
      <c r="B183" s="24" t="n"/>
      <c r="C183" s="24" t="n"/>
      <c r="D183" s="24" t="n"/>
      <c r="E183" s="25" t="n"/>
      <c r="F183" s="25" t="n"/>
      <c r="G183" s="25" t="n"/>
      <c r="H183" s="25" t="n"/>
      <c r="I183" s="25" t="n"/>
      <c r="J183" s="25" t="n"/>
      <c r="K183" s="25" t="n"/>
      <c r="L183" s="25" t="n"/>
      <c r="M183" s="25" t="n"/>
    </row>
    <row r="184" ht="14.25" customHeight="1">
      <c r="A184" s="23" t="n"/>
      <c r="B184" s="24" t="n"/>
      <c r="C184" s="24" t="n"/>
      <c r="D184" s="24" t="n"/>
      <c r="E184" s="25" t="n"/>
      <c r="F184" s="25" t="n"/>
      <c r="G184" s="25" t="n"/>
      <c r="H184" s="25" t="n"/>
      <c r="I184" s="25" t="n"/>
      <c r="J184" s="25" t="n"/>
      <c r="K184" s="25" t="n"/>
      <c r="L184" s="25" t="n"/>
      <c r="M184" s="25" t="n"/>
    </row>
    <row r="185" ht="14.25" customHeight="1">
      <c r="A185" s="23" t="n"/>
      <c r="B185" s="24" t="n"/>
      <c r="C185" s="24" t="n"/>
      <c r="D185" s="24" t="n"/>
      <c r="E185" s="25" t="n"/>
      <c r="F185" s="25" t="n"/>
      <c r="G185" s="25" t="n"/>
      <c r="H185" s="25" t="n"/>
      <c r="I185" s="25" t="n"/>
      <c r="J185" s="25" t="n"/>
      <c r="K185" s="25" t="n"/>
      <c r="L185" s="25" t="n"/>
      <c r="M185" s="25" t="n"/>
    </row>
    <row r="186" ht="14.25" customHeight="1">
      <c r="A186" s="23" t="n"/>
      <c r="B186" s="24" t="n"/>
      <c r="C186" s="24" t="n"/>
      <c r="D186" s="24" t="n"/>
      <c r="E186" s="25" t="n"/>
      <c r="F186" s="25" t="n"/>
      <c r="G186" s="25" t="n"/>
      <c r="H186" s="25" t="n"/>
      <c r="I186" s="25" t="n"/>
      <c r="J186" s="25" t="n"/>
      <c r="K186" s="25" t="n"/>
      <c r="L186" s="25" t="n"/>
      <c r="M186" s="25" t="n"/>
    </row>
    <row r="187" ht="14.25" customHeight="1">
      <c r="A187" s="23" t="n"/>
      <c r="B187" s="24" t="n"/>
      <c r="C187" s="24" t="n"/>
      <c r="D187" s="24" t="n"/>
      <c r="E187" s="25" t="n"/>
      <c r="F187" s="25" t="n"/>
      <c r="G187" s="25" t="n"/>
      <c r="H187" s="25" t="n"/>
      <c r="I187" s="25" t="n"/>
      <c r="J187" s="25" t="n"/>
      <c r="K187" s="25" t="n"/>
      <c r="L187" s="25" t="n"/>
      <c r="M187" s="25" t="n"/>
    </row>
    <row r="188" ht="14.25" customHeight="1">
      <c r="A188" s="23" t="n"/>
      <c r="B188" s="24" t="n"/>
      <c r="C188" s="24" t="n"/>
      <c r="D188" s="24" t="n"/>
      <c r="E188" s="25" t="n"/>
      <c r="F188" s="25" t="n"/>
      <c r="G188" s="25" t="n"/>
      <c r="H188" s="25" t="n"/>
      <c r="I188" s="25" t="n"/>
      <c r="J188" s="25" t="n"/>
      <c r="K188" s="25" t="n"/>
      <c r="L188" s="25" t="n"/>
      <c r="M188" s="25" t="n"/>
    </row>
    <row r="189" ht="14.25" customHeight="1">
      <c r="A189" s="23" t="n"/>
      <c r="B189" s="24" t="n"/>
      <c r="C189" s="24" t="n"/>
      <c r="D189" s="24" t="n"/>
      <c r="E189" s="25" t="n"/>
      <c r="F189" s="25" t="n"/>
      <c r="G189" s="25" t="n"/>
      <c r="H189" s="25" t="n"/>
      <c r="I189" s="25" t="n"/>
      <c r="J189" s="25" t="n"/>
      <c r="K189" s="25" t="n"/>
      <c r="L189" s="25" t="n"/>
      <c r="M189" s="25" t="n"/>
    </row>
    <row r="190" ht="14.25" customHeight="1">
      <c r="A190" s="23" t="n"/>
      <c r="B190" s="24" t="n"/>
      <c r="C190" s="24" t="n"/>
      <c r="D190" s="24" t="n"/>
      <c r="E190" s="25" t="n"/>
      <c r="F190" s="25" t="n"/>
      <c r="G190" s="25" t="n"/>
      <c r="H190" s="25" t="n"/>
      <c r="I190" s="25" t="n"/>
      <c r="J190" s="25" t="n"/>
      <c r="K190" s="25" t="n"/>
      <c r="L190" s="25" t="n"/>
      <c r="M190" s="25" t="n"/>
    </row>
    <row r="191" ht="14.25" customHeight="1">
      <c r="A191" s="23" t="n"/>
      <c r="B191" s="24" t="n"/>
      <c r="C191" s="24" t="n"/>
      <c r="D191" s="24" t="n"/>
      <c r="E191" s="25" t="n"/>
      <c r="F191" s="25" t="n"/>
      <c r="G191" s="25" t="n"/>
      <c r="H191" s="25" t="n"/>
      <c r="I191" s="25" t="n"/>
      <c r="J191" s="25" t="n"/>
      <c r="K191" s="25" t="n"/>
      <c r="L191" s="25" t="n"/>
      <c r="M191" s="25" t="n"/>
    </row>
    <row r="192" ht="14.25" customHeight="1">
      <c r="A192" s="23" t="n"/>
      <c r="B192" s="24" t="n"/>
      <c r="C192" s="24" t="n"/>
      <c r="D192" s="24" t="n"/>
      <c r="E192" s="25" t="n"/>
      <c r="F192" s="25" t="n"/>
      <c r="G192" s="25" t="n"/>
      <c r="H192" s="25" t="n"/>
      <c r="I192" s="25" t="n"/>
      <c r="J192" s="25" t="n"/>
      <c r="K192" s="25" t="n"/>
      <c r="L192" s="25" t="n"/>
      <c r="M192" s="25" t="n"/>
    </row>
    <row r="193" ht="14.25" customHeight="1">
      <c r="A193" s="23" t="n"/>
      <c r="B193" s="24" t="n"/>
      <c r="C193" s="24" t="n"/>
      <c r="D193" s="24" t="n"/>
      <c r="E193" s="25" t="n"/>
      <c r="F193" s="25" t="n"/>
      <c r="G193" s="25" t="n"/>
      <c r="H193" s="25" t="n"/>
      <c r="I193" s="25" t="n"/>
      <c r="J193" s="25" t="n"/>
      <c r="K193" s="25" t="n"/>
      <c r="L193" s="25" t="n"/>
      <c r="M193" s="25" t="n"/>
    </row>
    <row r="194" ht="14.25" customHeight="1">
      <c r="A194" s="23" t="n"/>
      <c r="B194" s="24" t="n"/>
      <c r="C194" s="24" t="n"/>
      <c r="D194" s="24" t="n"/>
      <c r="E194" s="25" t="n"/>
      <c r="F194" s="25" t="n"/>
      <c r="G194" s="25" t="n"/>
      <c r="H194" s="25" t="n"/>
      <c r="I194" s="25" t="n"/>
      <c r="J194" s="25" t="n"/>
      <c r="K194" s="25" t="n"/>
      <c r="L194" s="25" t="n"/>
      <c r="M194" s="25" t="n"/>
    </row>
    <row r="195" ht="14.25" customHeight="1">
      <c r="A195" s="23" t="n"/>
      <c r="B195" s="24" t="n"/>
      <c r="C195" s="24" t="n"/>
      <c r="D195" s="24" t="n"/>
      <c r="E195" s="25" t="n"/>
      <c r="F195" s="25" t="n"/>
      <c r="G195" s="25" t="n"/>
      <c r="H195" s="25" t="n"/>
      <c r="I195" s="25" t="n"/>
      <c r="J195" s="25" t="n"/>
      <c r="K195" s="25" t="n"/>
      <c r="L195" s="25" t="n"/>
      <c r="M195" s="25" t="n"/>
    </row>
    <row r="196" ht="14.25" customHeight="1">
      <c r="A196" s="23" t="n"/>
      <c r="B196" s="24" t="n"/>
      <c r="C196" s="24" t="n"/>
      <c r="D196" s="24" t="n"/>
      <c r="E196" s="25" t="n"/>
      <c r="F196" s="25" t="n"/>
      <c r="G196" s="25" t="n"/>
      <c r="H196" s="25" t="n"/>
      <c r="I196" s="25" t="n"/>
      <c r="J196" s="25" t="n"/>
      <c r="K196" s="25" t="n"/>
      <c r="L196" s="25" t="n"/>
      <c r="M196" s="25" t="n"/>
    </row>
    <row r="197" ht="14.25" customHeight="1">
      <c r="A197" s="23" t="n"/>
      <c r="B197" s="24" t="n"/>
      <c r="C197" s="24" t="n"/>
      <c r="D197" s="24" t="n"/>
      <c r="E197" s="25" t="n"/>
      <c r="F197" s="25" t="n"/>
      <c r="G197" s="25" t="n"/>
      <c r="H197" s="25" t="n"/>
      <c r="I197" s="25" t="n"/>
      <c r="J197" s="25" t="n"/>
      <c r="K197" s="25" t="n"/>
      <c r="L197" s="25" t="n"/>
      <c r="M197" s="25" t="n"/>
    </row>
    <row r="198" ht="14.25" customHeight="1">
      <c r="A198" s="23" t="n"/>
      <c r="B198" s="24" t="n"/>
      <c r="C198" s="24" t="n"/>
      <c r="D198" s="24" t="n"/>
      <c r="E198" s="25" t="n"/>
      <c r="F198" s="25" t="n"/>
      <c r="G198" s="25" t="n"/>
      <c r="H198" s="25" t="n"/>
      <c r="I198" s="25" t="n"/>
      <c r="J198" s="25" t="n"/>
      <c r="K198" s="25" t="n"/>
      <c r="L198" s="25" t="n"/>
      <c r="M198" s="25" t="n"/>
    </row>
    <row r="199" ht="14.25" customHeight="1">
      <c r="A199" s="23" t="n"/>
      <c r="B199" s="24" t="n"/>
      <c r="C199" s="24" t="n"/>
      <c r="D199" s="24" t="n"/>
      <c r="E199" s="25" t="n"/>
      <c r="F199" s="25" t="n"/>
      <c r="G199" s="25" t="n"/>
      <c r="H199" s="25" t="n"/>
      <c r="I199" s="25" t="n"/>
      <c r="J199" s="25" t="n"/>
      <c r="K199" s="25" t="n"/>
      <c r="L199" s="25" t="n"/>
      <c r="M199" s="25" t="n"/>
    </row>
    <row r="200" ht="14.25" customHeight="1">
      <c r="A200" s="23" t="n"/>
      <c r="B200" s="24" t="n"/>
      <c r="C200" s="24" t="n"/>
      <c r="D200" s="24" t="n"/>
      <c r="E200" s="25" t="n"/>
      <c r="F200" s="25" t="n"/>
      <c r="G200" s="25" t="n"/>
      <c r="H200" s="25" t="n"/>
      <c r="I200" s="25" t="n"/>
      <c r="J200" s="25" t="n"/>
      <c r="K200" s="25" t="n"/>
      <c r="L200" s="25" t="n"/>
      <c r="M200" s="25" t="n"/>
    </row>
    <row r="201" ht="14.25" customHeight="1">
      <c r="A201" s="23" t="n"/>
      <c r="B201" s="24" t="n"/>
      <c r="C201" s="24" t="n"/>
      <c r="D201" s="24" t="n"/>
      <c r="E201" s="25" t="n"/>
      <c r="F201" s="25" t="n"/>
      <c r="G201" s="25" t="n"/>
      <c r="H201" s="25" t="n"/>
      <c r="I201" s="25" t="n"/>
      <c r="J201" s="25" t="n"/>
      <c r="K201" s="25" t="n"/>
      <c r="L201" s="25" t="n"/>
      <c r="M201" s="25" t="n"/>
    </row>
    <row r="202" ht="14.25" customHeight="1">
      <c r="A202" s="23" t="n"/>
      <c r="B202" s="24" t="n"/>
      <c r="C202" s="24" t="n"/>
      <c r="D202" s="24" t="n"/>
      <c r="E202" s="25" t="n"/>
      <c r="F202" s="25" t="n"/>
      <c r="G202" s="25" t="n"/>
      <c r="H202" s="25" t="n"/>
      <c r="I202" s="25" t="n"/>
      <c r="J202" s="25" t="n"/>
      <c r="K202" s="25" t="n"/>
      <c r="L202" s="25" t="n"/>
      <c r="M202" s="25" t="n"/>
    </row>
    <row r="203" ht="14.25" customHeight="1">
      <c r="A203" s="23" t="n"/>
      <c r="B203" s="24" t="n"/>
      <c r="C203" s="24" t="n"/>
      <c r="D203" s="24" t="n"/>
      <c r="E203" s="25" t="n"/>
      <c r="F203" s="25" t="n"/>
      <c r="G203" s="25" t="n"/>
      <c r="H203" s="25" t="n"/>
      <c r="I203" s="25" t="n"/>
      <c r="J203" s="25" t="n"/>
      <c r="K203" s="25" t="n"/>
      <c r="L203" s="25" t="n"/>
      <c r="M203" s="25" t="n"/>
    </row>
    <row r="204" ht="14.25" customHeight="1">
      <c r="A204" s="23" t="n"/>
      <c r="B204" s="24" t="n"/>
      <c r="C204" s="24" t="n"/>
      <c r="D204" s="24" t="n"/>
      <c r="E204" s="25" t="n"/>
      <c r="F204" s="25" t="n"/>
      <c r="G204" s="25" t="n"/>
      <c r="H204" s="25" t="n"/>
      <c r="I204" s="25" t="n"/>
      <c r="J204" s="25" t="n"/>
      <c r="K204" s="25" t="n"/>
      <c r="L204" s="25" t="n"/>
      <c r="M204" s="25" t="n"/>
    </row>
    <row r="205" ht="14.25" customHeight="1">
      <c r="A205" s="23" t="n"/>
      <c r="B205" s="24" t="n"/>
      <c r="C205" s="24" t="n"/>
      <c r="D205" s="24" t="n"/>
      <c r="E205" s="25" t="n"/>
      <c r="F205" s="25" t="n"/>
      <c r="G205" s="25" t="n"/>
      <c r="H205" s="25" t="n"/>
      <c r="I205" s="25" t="n"/>
      <c r="J205" s="25" t="n"/>
      <c r="K205" s="25" t="n"/>
      <c r="L205" s="25" t="n"/>
      <c r="M205" s="25" t="n"/>
    </row>
    <row r="206" ht="14.25" customHeight="1">
      <c r="A206" s="23" t="n"/>
      <c r="B206" s="24" t="n"/>
      <c r="C206" s="24" t="n"/>
      <c r="D206" s="24" t="n"/>
      <c r="E206" s="25" t="n"/>
      <c r="F206" s="25" t="n"/>
      <c r="G206" s="25" t="n"/>
      <c r="H206" s="25" t="n"/>
      <c r="I206" s="25" t="n"/>
      <c r="J206" s="25" t="n"/>
      <c r="K206" s="25" t="n"/>
      <c r="L206" s="25" t="n"/>
      <c r="M206" s="25" t="n"/>
    </row>
    <row r="207" ht="14.25" customHeight="1">
      <c r="A207" s="23" t="n"/>
      <c r="B207" s="24" t="n"/>
      <c r="C207" s="24" t="n"/>
      <c r="D207" s="24" t="n"/>
      <c r="E207" s="25" t="n"/>
      <c r="F207" s="25" t="n"/>
      <c r="G207" s="25" t="n"/>
      <c r="H207" s="25" t="n"/>
      <c r="I207" s="25" t="n"/>
      <c r="J207" s="25" t="n"/>
      <c r="K207" s="25" t="n"/>
      <c r="L207" s="25" t="n"/>
      <c r="M207" s="25" t="n"/>
    </row>
    <row r="208" ht="14.25" customHeight="1">
      <c r="A208" s="23" t="n"/>
      <c r="B208" s="24" t="n"/>
      <c r="C208" s="24" t="n"/>
      <c r="D208" s="24" t="n"/>
      <c r="E208" s="25" t="n"/>
      <c r="F208" s="25" t="n"/>
      <c r="G208" s="25" t="n"/>
      <c r="H208" s="25" t="n"/>
      <c r="I208" s="25" t="n"/>
      <c r="J208" s="25" t="n"/>
      <c r="K208" s="25" t="n"/>
      <c r="L208" s="25" t="n"/>
      <c r="M208" s="25" t="n"/>
    </row>
    <row r="209" ht="14.25" customHeight="1">
      <c r="A209" s="23" t="n"/>
      <c r="B209" s="24" t="n"/>
      <c r="C209" s="24" t="n"/>
      <c r="D209" s="24" t="n"/>
      <c r="E209" s="25" t="n"/>
      <c r="F209" s="25" t="n"/>
      <c r="G209" s="25" t="n"/>
      <c r="H209" s="25" t="n"/>
      <c r="I209" s="25" t="n"/>
      <c r="J209" s="25" t="n"/>
      <c r="K209" s="25" t="n"/>
      <c r="L209" s="25" t="n"/>
      <c r="M209" s="25" t="n"/>
    </row>
    <row r="210" ht="14.25" customHeight="1">
      <c r="A210" s="23" t="n"/>
      <c r="B210" s="24" t="n"/>
      <c r="C210" s="24" t="n"/>
      <c r="D210" s="24" t="n"/>
      <c r="E210" s="25" t="n"/>
      <c r="F210" s="25" t="n"/>
      <c r="G210" s="25" t="n"/>
      <c r="H210" s="25" t="n"/>
      <c r="I210" s="25" t="n"/>
      <c r="J210" s="25" t="n"/>
      <c r="K210" s="25" t="n"/>
      <c r="L210" s="25" t="n"/>
      <c r="M210" s="25" t="n"/>
    </row>
    <row r="211" ht="14.25" customHeight="1">
      <c r="A211" s="23" t="n"/>
      <c r="B211" s="24" t="n"/>
      <c r="C211" s="24" t="n"/>
      <c r="D211" s="24" t="n"/>
      <c r="E211" s="25" t="n"/>
      <c r="F211" s="25" t="n"/>
      <c r="G211" s="25" t="n"/>
      <c r="H211" s="25" t="n"/>
      <c r="I211" s="25" t="n"/>
      <c r="J211" s="25" t="n"/>
      <c r="K211" s="25" t="n"/>
      <c r="L211" s="25" t="n"/>
      <c r="M211" s="25" t="n"/>
    </row>
    <row r="212" ht="14.25" customHeight="1">
      <c r="A212" s="23" t="n"/>
      <c r="B212" s="24" t="n"/>
      <c r="C212" s="24" t="n"/>
      <c r="D212" s="24" t="n"/>
      <c r="E212" s="25" t="n"/>
      <c r="F212" s="25" t="n"/>
      <c r="G212" s="25" t="n"/>
      <c r="H212" s="25" t="n"/>
      <c r="I212" s="25" t="n"/>
      <c r="J212" s="25" t="n"/>
      <c r="K212" s="25" t="n"/>
      <c r="L212" s="25" t="n"/>
      <c r="M212" s="25" t="n"/>
    </row>
    <row r="213" ht="14.25" customHeight="1">
      <c r="A213" s="23" t="n"/>
      <c r="B213" s="24" t="n"/>
      <c r="C213" s="24" t="n"/>
      <c r="D213" s="24" t="n"/>
      <c r="E213" s="25" t="n"/>
      <c r="F213" s="25" t="n"/>
      <c r="G213" s="25" t="n"/>
      <c r="H213" s="25" t="n"/>
      <c r="I213" s="25" t="n"/>
      <c r="J213" s="25" t="n"/>
      <c r="K213" s="25" t="n"/>
      <c r="L213" s="25" t="n"/>
      <c r="M213" s="25" t="n"/>
    </row>
    <row r="214" ht="14.25" customHeight="1">
      <c r="A214" s="23" t="n"/>
      <c r="B214" s="24" t="n"/>
      <c r="C214" s="24" t="n"/>
      <c r="D214" s="24" t="n"/>
      <c r="E214" s="25" t="n"/>
      <c r="F214" s="25" t="n"/>
      <c r="G214" s="25" t="n"/>
      <c r="H214" s="25" t="n"/>
      <c r="I214" s="25" t="n"/>
      <c r="J214" s="25" t="n"/>
      <c r="K214" s="25" t="n"/>
      <c r="L214" s="25" t="n"/>
      <c r="M214" s="25" t="n"/>
    </row>
    <row r="215" ht="14.25" customHeight="1">
      <c r="A215" s="23" t="n"/>
      <c r="B215" s="24" t="n"/>
      <c r="C215" s="24" t="n"/>
      <c r="D215" s="24" t="n"/>
      <c r="E215" s="25" t="n"/>
      <c r="F215" s="25" t="n"/>
      <c r="G215" s="25" t="n"/>
      <c r="H215" s="25" t="n"/>
      <c r="I215" s="25" t="n"/>
      <c r="J215" s="25" t="n"/>
      <c r="K215" s="25" t="n"/>
      <c r="L215" s="25" t="n"/>
      <c r="M215" s="25" t="n"/>
    </row>
    <row r="216" ht="14.25" customHeight="1">
      <c r="A216" s="23" t="n"/>
      <c r="B216" s="24" t="n"/>
      <c r="C216" s="24" t="n"/>
      <c r="D216" s="24" t="n"/>
      <c r="E216" s="25" t="n"/>
      <c r="F216" s="25" t="n"/>
      <c r="G216" s="25" t="n"/>
      <c r="H216" s="25" t="n"/>
      <c r="I216" s="25" t="n"/>
      <c r="J216" s="25" t="n"/>
      <c r="K216" s="25" t="n"/>
      <c r="L216" s="25" t="n"/>
      <c r="M216" s="25" t="n"/>
    </row>
    <row r="217" ht="14.25" customHeight="1">
      <c r="A217" s="23" t="n"/>
      <c r="B217" s="24" t="n"/>
      <c r="C217" s="24" t="n"/>
      <c r="D217" s="24" t="n"/>
      <c r="E217" s="25" t="n"/>
      <c r="F217" s="25" t="n"/>
      <c r="G217" s="25" t="n"/>
      <c r="H217" s="25" t="n"/>
      <c r="I217" s="25" t="n"/>
      <c r="J217" s="25" t="n"/>
      <c r="K217" s="25" t="n"/>
      <c r="L217" s="25" t="n"/>
      <c r="M217" s="25" t="n"/>
    </row>
    <row r="218" ht="14.25" customHeight="1">
      <c r="A218" s="23" t="n"/>
      <c r="B218" s="24" t="n"/>
      <c r="C218" s="24" t="n"/>
      <c r="D218" s="24" t="n"/>
      <c r="E218" s="25" t="n"/>
      <c r="F218" s="25" t="n"/>
      <c r="G218" s="25" t="n"/>
      <c r="H218" s="25" t="n"/>
      <c r="I218" s="25" t="n"/>
      <c r="J218" s="25" t="n"/>
      <c r="K218" s="25" t="n"/>
      <c r="L218" s="25" t="n"/>
      <c r="M218" s="25" t="n"/>
    </row>
    <row r="219" ht="14.25" customHeight="1">
      <c r="A219" s="23" t="n"/>
      <c r="B219" s="24" t="n"/>
      <c r="C219" s="24" t="n"/>
      <c r="D219" s="24" t="n"/>
      <c r="E219" s="25" t="n"/>
      <c r="F219" s="25" t="n"/>
      <c r="G219" s="25" t="n"/>
      <c r="H219" s="25" t="n"/>
      <c r="I219" s="25" t="n"/>
      <c r="J219" s="25" t="n"/>
      <c r="K219" s="25" t="n"/>
      <c r="L219" s="25" t="n"/>
      <c r="M219" s="25" t="n"/>
    </row>
    <row r="220" ht="14.25" customHeight="1">
      <c r="A220" s="23" t="n"/>
      <c r="B220" s="24" t="n"/>
      <c r="C220" s="24" t="n"/>
      <c r="D220" s="24" t="n"/>
      <c r="E220" s="25" t="n"/>
      <c r="F220" s="25" t="n"/>
      <c r="G220" s="25" t="n"/>
      <c r="H220" s="25" t="n"/>
      <c r="I220" s="25" t="n"/>
      <c r="J220" s="25" t="n"/>
      <c r="K220" s="25" t="n"/>
      <c r="L220" s="25" t="n"/>
      <c r="M220" s="25" t="n"/>
    </row>
    <row r="221" ht="14.25" customHeight="1">
      <c r="A221" s="23" t="n"/>
      <c r="B221" s="24" t="n"/>
      <c r="C221" s="24" t="n"/>
      <c r="D221" s="24" t="n"/>
      <c r="E221" s="25" t="n"/>
      <c r="F221" s="25" t="n"/>
      <c r="G221" s="25" t="n"/>
      <c r="H221" s="25" t="n"/>
      <c r="I221" s="25" t="n"/>
      <c r="J221" s="25" t="n"/>
      <c r="K221" s="25" t="n"/>
      <c r="L221" s="25" t="n"/>
      <c r="M221" s="25" t="n"/>
    </row>
    <row r="222" ht="14.25" customHeight="1">
      <c r="A222" s="23" t="n"/>
      <c r="B222" s="24" t="n"/>
      <c r="C222" s="24" t="n"/>
      <c r="D222" s="24" t="n"/>
      <c r="E222" s="25" t="n"/>
      <c r="F222" s="25" t="n"/>
      <c r="G222" s="25" t="n"/>
      <c r="H222" s="25" t="n"/>
      <c r="I222" s="25" t="n"/>
      <c r="J222" s="25" t="n"/>
      <c r="K222" s="25" t="n"/>
      <c r="L222" s="25" t="n"/>
      <c r="M222" s="25" t="n"/>
    </row>
    <row r="223" ht="14.25" customHeight="1">
      <c r="A223" s="23" t="n"/>
      <c r="B223" s="24" t="n"/>
      <c r="C223" s="24" t="n"/>
      <c r="D223" s="24" t="n"/>
      <c r="E223" s="25" t="n"/>
      <c r="F223" s="25" t="n"/>
      <c r="G223" s="25" t="n"/>
      <c r="H223" s="25" t="n"/>
      <c r="I223" s="25" t="n"/>
      <c r="J223" s="25" t="n"/>
      <c r="K223" s="25" t="n"/>
      <c r="L223" s="25" t="n"/>
      <c r="M223" s="25" t="n"/>
    </row>
    <row r="224" ht="14.25" customHeight="1">
      <c r="A224" s="23" t="n"/>
      <c r="B224" s="24" t="n"/>
      <c r="C224" s="24" t="n"/>
      <c r="D224" s="24" t="n"/>
      <c r="E224" s="25" t="n"/>
      <c r="F224" s="25" t="n"/>
      <c r="G224" s="25" t="n"/>
      <c r="H224" s="25" t="n"/>
      <c r="I224" s="25" t="n"/>
      <c r="J224" s="25" t="n"/>
      <c r="K224" s="25" t="n"/>
      <c r="L224" s="25" t="n"/>
      <c r="M224" s="25" t="n"/>
    </row>
    <row r="225" ht="14.25" customHeight="1">
      <c r="A225" s="23" t="n"/>
      <c r="B225" s="24" t="n"/>
      <c r="C225" s="24" t="n"/>
      <c r="D225" s="24" t="n"/>
      <c r="E225" s="25" t="n"/>
      <c r="F225" s="25" t="n"/>
      <c r="G225" s="25" t="n"/>
      <c r="H225" s="25" t="n"/>
      <c r="I225" s="25" t="n"/>
      <c r="J225" s="25" t="n"/>
      <c r="K225" s="25" t="n"/>
      <c r="L225" s="25" t="n"/>
      <c r="M225" s="25" t="n"/>
    </row>
    <row r="226" ht="14.25" customHeight="1">
      <c r="A226" s="23" t="n"/>
      <c r="B226" s="24" t="n"/>
      <c r="C226" s="24" t="n"/>
      <c r="D226" s="24" t="n"/>
      <c r="E226" s="25" t="n"/>
      <c r="F226" s="25" t="n"/>
      <c r="G226" s="25" t="n"/>
      <c r="H226" s="25" t="n"/>
      <c r="I226" s="25" t="n"/>
      <c r="J226" s="25" t="n"/>
      <c r="K226" s="25" t="n"/>
      <c r="L226" s="25" t="n"/>
      <c r="M226" s="25" t="n"/>
    </row>
    <row r="227" ht="14.25" customHeight="1">
      <c r="A227" s="23" t="n"/>
      <c r="B227" s="24" t="n"/>
      <c r="C227" s="24" t="n"/>
      <c r="D227" s="24" t="n"/>
      <c r="E227" s="25" t="n"/>
      <c r="F227" s="25" t="n"/>
      <c r="G227" s="25" t="n"/>
      <c r="H227" s="25" t="n"/>
      <c r="I227" s="25" t="n"/>
      <c r="J227" s="25" t="n"/>
      <c r="K227" s="25" t="n"/>
      <c r="L227" s="25" t="n"/>
      <c r="M227" s="25" t="n"/>
    </row>
    <row r="228" ht="14.25" customHeight="1">
      <c r="A228" s="23" t="n"/>
      <c r="B228" s="24" t="n"/>
      <c r="C228" s="24" t="n"/>
      <c r="D228" s="24" t="n"/>
      <c r="E228" s="25" t="n"/>
      <c r="F228" s="25" t="n"/>
      <c r="G228" s="25" t="n"/>
      <c r="H228" s="25" t="n"/>
      <c r="I228" s="25" t="n"/>
      <c r="J228" s="25" t="n"/>
      <c r="K228" s="25" t="n"/>
      <c r="L228" s="25" t="n"/>
      <c r="M228" s="25" t="n"/>
    </row>
    <row r="229" ht="14.25" customHeight="1">
      <c r="A229" s="23" t="n"/>
      <c r="B229" s="24" t="n"/>
      <c r="C229" s="24" t="n"/>
      <c r="D229" s="24" t="n"/>
      <c r="E229" s="25" t="n"/>
      <c r="F229" s="25" t="n"/>
      <c r="G229" s="25" t="n"/>
      <c r="H229" s="25" t="n"/>
      <c r="I229" s="25" t="n"/>
      <c r="J229" s="25" t="n"/>
      <c r="K229" s="25" t="n"/>
      <c r="L229" s="25" t="n"/>
      <c r="M229" s="25" t="n"/>
    </row>
    <row r="230" ht="14.25" customHeight="1">
      <c r="A230" s="23" t="n"/>
      <c r="B230" s="24" t="n"/>
      <c r="C230" s="24" t="n"/>
      <c r="D230" s="24" t="n"/>
      <c r="E230" s="25" t="n"/>
      <c r="F230" s="25" t="n"/>
      <c r="G230" s="25" t="n"/>
      <c r="H230" s="25" t="n"/>
      <c r="I230" s="25" t="n"/>
      <c r="J230" s="25" t="n"/>
      <c r="K230" s="25" t="n"/>
      <c r="L230" s="25" t="n"/>
      <c r="M230" s="25" t="n"/>
    </row>
    <row r="231" ht="14.25" customHeight="1">
      <c r="A231" s="23" t="n"/>
      <c r="B231" s="24" t="n"/>
      <c r="C231" s="24" t="n"/>
      <c r="D231" s="24" t="n"/>
      <c r="E231" s="25" t="n"/>
      <c r="F231" s="25" t="n"/>
      <c r="G231" s="25" t="n"/>
      <c r="H231" s="25" t="n"/>
      <c r="I231" s="25" t="n"/>
      <c r="J231" s="25" t="n"/>
      <c r="K231" s="25" t="n"/>
      <c r="L231" s="25" t="n"/>
      <c r="M231" s="25" t="n"/>
    </row>
    <row r="232" ht="14.25" customHeight="1">
      <c r="A232" s="23" t="n"/>
      <c r="B232" s="24" t="n"/>
      <c r="C232" s="24" t="n"/>
      <c r="D232" s="24" t="n"/>
      <c r="E232" s="25" t="n"/>
      <c r="F232" s="25" t="n"/>
      <c r="G232" s="25" t="n"/>
      <c r="H232" s="25" t="n"/>
      <c r="I232" s="25" t="n"/>
      <c r="J232" s="25" t="n"/>
      <c r="K232" s="25" t="n"/>
      <c r="L232" s="25" t="n"/>
      <c r="M232" s="25" t="n"/>
    </row>
    <row r="233" ht="14.25" customHeight="1">
      <c r="A233" s="23" t="n"/>
      <c r="B233" s="24" t="n"/>
      <c r="C233" s="24" t="n"/>
      <c r="D233" s="24" t="n"/>
      <c r="E233" s="25" t="n"/>
      <c r="F233" s="25" t="n"/>
      <c r="G233" s="25" t="n"/>
      <c r="H233" s="25" t="n"/>
      <c r="I233" s="25" t="n"/>
      <c r="J233" s="25" t="n"/>
      <c r="K233" s="25" t="n"/>
      <c r="L233" s="25" t="n"/>
      <c r="M233" s="25" t="n"/>
    </row>
    <row r="234" ht="14.25" customHeight="1">
      <c r="A234" s="23" t="n"/>
      <c r="B234" s="24" t="n"/>
      <c r="C234" s="24" t="n"/>
      <c r="D234" s="24" t="n"/>
      <c r="E234" s="25" t="n"/>
      <c r="F234" s="25" t="n"/>
      <c r="G234" s="25" t="n"/>
      <c r="H234" s="25" t="n"/>
      <c r="I234" s="25" t="n"/>
      <c r="J234" s="25" t="n"/>
      <c r="K234" s="25" t="n"/>
      <c r="L234" s="25" t="n"/>
      <c r="M234" s="25" t="n"/>
    </row>
    <row r="235" ht="14.25" customHeight="1">
      <c r="A235" s="23" t="n"/>
      <c r="B235" s="24" t="n"/>
      <c r="C235" s="24" t="n"/>
      <c r="D235" s="24" t="n"/>
      <c r="E235" s="25" t="n"/>
      <c r="F235" s="25" t="n"/>
      <c r="G235" s="25" t="n"/>
      <c r="H235" s="25" t="n"/>
      <c r="I235" s="25" t="n"/>
      <c r="J235" s="25" t="n"/>
      <c r="K235" s="25" t="n"/>
      <c r="L235" s="25" t="n"/>
      <c r="M235" s="25" t="n"/>
    </row>
    <row r="236" ht="14.25" customHeight="1">
      <c r="A236" s="23" t="n"/>
      <c r="B236" s="24" t="n"/>
      <c r="C236" s="24" t="n"/>
      <c r="D236" s="24" t="n"/>
      <c r="E236" s="25" t="n"/>
      <c r="F236" s="25" t="n"/>
      <c r="G236" s="25" t="n"/>
      <c r="H236" s="25" t="n"/>
      <c r="I236" s="25" t="n"/>
      <c r="J236" s="25" t="n"/>
      <c r="K236" s="25" t="n"/>
      <c r="L236" s="25" t="n"/>
      <c r="M236" s="25" t="n"/>
    </row>
    <row r="237" ht="14.25" customHeight="1">
      <c r="A237" s="23" t="n"/>
      <c r="B237" s="24" t="n"/>
      <c r="C237" s="24" t="n"/>
      <c r="D237" s="24" t="n"/>
      <c r="E237" s="25" t="n"/>
      <c r="F237" s="25" t="n"/>
      <c r="G237" s="25" t="n"/>
      <c r="H237" s="25" t="n"/>
      <c r="I237" s="25" t="n"/>
      <c r="J237" s="25" t="n"/>
      <c r="K237" s="25" t="n"/>
      <c r="L237" s="25" t="n"/>
      <c r="M237" s="25" t="n"/>
    </row>
    <row r="238" ht="14.25" customHeight="1">
      <c r="A238" s="23" t="n"/>
      <c r="B238" s="24" t="n"/>
      <c r="C238" s="24" t="n"/>
      <c r="D238" s="24" t="n"/>
      <c r="E238" s="25" t="n"/>
      <c r="F238" s="25" t="n"/>
      <c r="G238" s="25" t="n"/>
      <c r="H238" s="25" t="n"/>
      <c r="I238" s="25" t="n"/>
      <c r="J238" s="25" t="n"/>
      <c r="K238" s="25" t="n"/>
      <c r="L238" s="25" t="n"/>
      <c r="M238" s="25" t="n"/>
    </row>
    <row r="239" ht="14.25" customHeight="1">
      <c r="A239" s="23" t="n"/>
      <c r="B239" s="24" t="n"/>
      <c r="C239" s="24" t="n"/>
      <c r="D239" s="24" t="n"/>
      <c r="E239" s="25" t="n"/>
      <c r="F239" s="25" t="n"/>
      <c r="G239" s="25" t="n"/>
      <c r="H239" s="25" t="n"/>
      <c r="I239" s="25" t="n"/>
      <c r="J239" s="25" t="n"/>
      <c r="K239" s="25" t="n"/>
      <c r="L239" s="25" t="n"/>
      <c r="M239" s="25" t="n"/>
    </row>
    <row r="240" ht="14.25" customHeight="1">
      <c r="A240" s="23" t="n"/>
      <c r="B240" s="24" t="n"/>
      <c r="C240" s="24" t="n"/>
      <c r="D240" s="24" t="n"/>
      <c r="E240" s="25" t="n"/>
      <c r="F240" s="25" t="n"/>
      <c r="G240" s="25" t="n"/>
      <c r="H240" s="25" t="n"/>
      <c r="I240" s="25" t="n"/>
      <c r="J240" s="25" t="n"/>
      <c r="K240" s="25" t="n"/>
      <c r="L240" s="25" t="n"/>
      <c r="M240" s="25" t="n"/>
    </row>
    <row r="241" ht="14.25" customHeight="1">
      <c r="A241" s="23" t="n"/>
      <c r="B241" s="24" t="n"/>
      <c r="C241" s="24" t="n"/>
      <c r="D241" s="24" t="n"/>
      <c r="E241" s="25" t="n"/>
      <c r="F241" s="25" t="n"/>
      <c r="G241" s="25" t="n"/>
      <c r="H241" s="25" t="n"/>
      <c r="I241" s="25" t="n"/>
      <c r="J241" s="25" t="n"/>
      <c r="K241" s="25" t="n"/>
      <c r="L241" s="25" t="n"/>
      <c r="M241" s="25" t="n"/>
    </row>
    <row r="242" ht="14.25" customHeight="1">
      <c r="A242" s="23" t="n"/>
      <c r="B242" s="24" t="n"/>
      <c r="C242" s="24" t="n"/>
      <c r="D242" s="24" t="n"/>
      <c r="E242" s="25" t="n"/>
      <c r="F242" s="25" t="n"/>
      <c r="G242" s="25" t="n"/>
      <c r="H242" s="25" t="n"/>
      <c r="I242" s="25" t="n"/>
      <c r="J242" s="25" t="n"/>
      <c r="K242" s="25" t="n"/>
      <c r="L242" s="25" t="n"/>
      <c r="M242" s="25" t="n"/>
    </row>
    <row r="243" ht="14.25" customHeight="1">
      <c r="A243" s="23" t="n"/>
      <c r="B243" s="24" t="n"/>
      <c r="C243" s="24" t="n"/>
      <c r="D243" s="24" t="n"/>
      <c r="E243" s="25" t="n"/>
      <c r="F243" s="25" t="n"/>
      <c r="G243" s="25" t="n"/>
      <c r="H243" s="25" t="n"/>
      <c r="I243" s="25" t="n"/>
      <c r="J243" s="25" t="n"/>
      <c r="K243" s="25" t="n"/>
      <c r="L243" s="25" t="n"/>
      <c r="M243" s="25" t="n"/>
    </row>
    <row r="244" ht="14.25" customHeight="1">
      <c r="A244" s="23" t="n"/>
      <c r="B244" s="24" t="n"/>
      <c r="C244" s="24" t="n"/>
      <c r="D244" s="24" t="n"/>
      <c r="E244" s="25" t="n"/>
      <c r="F244" s="25" t="n"/>
      <c r="G244" s="25" t="n"/>
      <c r="H244" s="25" t="n"/>
      <c r="I244" s="25" t="n"/>
      <c r="J244" s="25" t="n"/>
      <c r="K244" s="25" t="n"/>
      <c r="L244" s="25" t="n"/>
      <c r="M244" s="25" t="n"/>
    </row>
    <row r="245" ht="14.25" customHeight="1">
      <c r="A245" s="23" t="n"/>
      <c r="B245" s="24" t="n"/>
      <c r="C245" s="24" t="n"/>
      <c r="D245" s="24" t="n"/>
      <c r="E245" s="25" t="n"/>
      <c r="F245" s="25" t="n"/>
      <c r="G245" s="25" t="n"/>
      <c r="H245" s="25" t="n"/>
      <c r="I245" s="25" t="n"/>
      <c r="J245" s="25" t="n"/>
      <c r="K245" s="25" t="n"/>
      <c r="L245" s="25" t="n"/>
      <c r="M245" s="25" t="n"/>
    </row>
    <row r="246" ht="14.25" customHeight="1">
      <c r="A246" s="23" t="n"/>
      <c r="B246" s="24" t="n"/>
      <c r="C246" s="24" t="n"/>
      <c r="D246" s="24" t="n"/>
      <c r="E246" s="25" t="n"/>
      <c r="F246" s="25" t="n"/>
      <c r="G246" s="25" t="n"/>
      <c r="H246" s="25" t="n"/>
      <c r="I246" s="25" t="n"/>
      <c r="J246" s="25" t="n"/>
      <c r="K246" s="25" t="n"/>
      <c r="L246" s="25" t="n"/>
      <c r="M246" s="25" t="n"/>
    </row>
    <row r="247" ht="14.25" customHeight="1">
      <c r="A247" s="23" t="n"/>
      <c r="B247" s="24" t="n"/>
      <c r="C247" s="24" t="n"/>
      <c r="D247" s="24" t="n"/>
      <c r="E247" s="25" t="n"/>
      <c r="F247" s="25" t="n"/>
      <c r="G247" s="25" t="n"/>
      <c r="H247" s="25" t="n"/>
      <c r="I247" s="25" t="n"/>
      <c r="J247" s="25" t="n"/>
      <c r="K247" s="25" t="n"/>
      <c r="L247" s="25" t="n"/>
      <c r="M247" s="25" t="n"/>
    </row>
    <row r="248" ht="14.25" customHeight="1">
      <c r="A248" s="23" t="n"/>
      <c r="B248" s="24" t="n"/>
      <c r="C248" s="24" t="n"/>
      <c r="D248" s="24" t="n"/>
      <c r="E248" s="25" t="n"/>
      <c r="F248" s="25" t="n"/>
      <c r="G248" s="25" t="n"/>
      <c r="H248" s="25" t="n"/>
      <c r="I248" s="25" t="n"/>
      <c r="J248" s="25" t="n"/>
      <c r="K248" s="25" t="n"/>
      <c r="L248" s="25" t="n"/>
      <c r="M248" s="25" t="n"/>
    </row>
    <row r="249" ht="14.25" customHeight="1">
      <c r="A249" s="23" t="n"/>
      <c r="B249" s="24" t="n"/>
      <c r="C249" s="24" t="n"/>
      <c r="D249" s="24" t="n"/>
      <c r="E249" s="25" t="n"/>
      <c r="F249" s="25" t="n"/>
      <c r="G249" s="25" t="n"/>
      <c r="H249" s="25" t="n"/>
      <c r="I249" s="25" t="n"/>
      <c r="J249" s="25" t="n"/>
      <c r="K249" s="25" t="n"/>
      <c r="L249" s="25" t="n"/>
      <c r="M249" s="25" t="n"/>
    </row>
    <row r="250" ht="14.25" customHeight="1">
      <c r="A250" s="23" t="n"/>
      <c r="B250" s="24" t="n"/>
      <c r="C250" s="24" t="n"/>
      <c r="D250" s="24" t="n"/>
      <c r="E250" s="25" t="n"/>
      <c r="F250" s="25" t="n"/>
      <c r="G250" s="25" t="n"/>
      <c r="H250" s="25" t="n"/>
      <c r="I250" s="25" t="n"/>
      <c r="J250" s="25" t="n"/>
      <c r="K250" s="25" t="n"/>
      <c r="L250" s="25" t="n"/>
      <c r="M250" s="25" t="n"/>
    </row>
    <row r="251" ht="14.25" customHeight="1">
      <c r="A251" s="23" t="n"/>
      <c r="B251" s="24" t="n"/>
      <c r="C251" s="24" t="n"/>
      <c r="D251" s="24" t="n"/>
      <c r="E251" s="25" t="n"/>
      <c r="F251" s="25" t="n"/>
      <c r="G251" s="25" t="n"/>
      <c r="H251" s="25" t="n"/>
      <c r="I251" s="25" t="n"/>
      <c r="J251" s="25" t="n"/>
      <c r="K251" s="25" t="n"/>
      <c r="L251" s="25" t="n"/>
      <c r="M251" s="25" t="n"/>
    </row>
    <row r="252" ht="14.25" customHeight="1">
      <c r="A252" s="23" t="n"/>
      <c r="B252" s="24" t="n"/>
      <c r="C252" s="24" t="n"/>
      <c r="D252" s="24" t="n"/>
      <c r="E252" s="25" t="n"/>
      <c r="F252" s="25" t="n"/>
      <c r="G252" s="25" t="n"/>
      <c r="H252" s="25" t="n"/>
      <c r="I252" s="25" t="n"/>
      <c r="J252" s="25" t="n"/>
      <c r="K252" s="25" t="n"/>
      <c r="L252" s="25" t="n"/>
      <c r="M252" s="25" t="n"/>
    </row>
    <row r="253" ht="14.25" customHeight="1">
      <c r="A253" s="23" t="n"/>
      <c r="B253" s="24" t="n"/>
      <c r="C253" s="24" t="n"/>
      <c r="D253" s="24" t="n"/>
      <c r="E253" s="25" t="n"/>
      <c r="F253" s="25" t="n"/>
      <c r="G253" s="25" t="n"/>
      <c r="H253" s="25" t="n"/>
      <c r="I253" s="25" t="n"/>
      <c r="J253" s="25" t="n"/>
      <c r="K253" s="25" t="n"/>
      <c r="L253" s="25" t="n"/>
      <c r="M253" s="25" t="n"/>
    </row>
    <row r="254" ht="14.25" customHeight="1">
      <c r="A254" s="23" t="n"/>
      <c r="B254" s="24" t="n"/>
      <c r="C254" s="24" t="n"/>
      <c r="D254" s="24" t="n"/>
      <c r="E254" s="25" t="n"/>
      <c r="F254" s="25" t="n"/>
      <c r="G254" s="25" t="n"/>
      <c r="H254" s="25" t="n"/>
      <c r="I254" s="25" t="n"/>
      <c r="J254" s="25" t="n"/>
      <c r="K254" s="25" t="n"/>
      <c r="L254" s="25" t="n"/>
      <c r="M254" s="25" t="n"/>
    </row>
    <row r="255" ht="14.25" customHeight="1">
      <c r="A255" s="23" t="n"/>
      <c r="B255" s="24" t="n"/>
      <c r="C255" s="24" t="n"/>
      <c r="D255" s="24" t="n"/>
      <c r="E255" s="25" t="n"/>
      <c r="F255" s="25" t="n"/>
      <c r="G255" s="25" t="n"/>
      <c r="H255" s="25" t="n"/>
      <c r="I255" s="25" t="n"/>
      <c r="J255" s="25" t="n"/>
      <c r="K255" s="25" t="n"/>
      <c r="L255" s="25" t="n"/>
      <c r="M255" s="25" t="n"/>
    </row>
    <row r="256" ht="14.25" customHeight="1">
      <c r="A256" s="23" t="n"/>
      <c r="B256" s="24" t="n"/>
      <c r="C256" s="24" t="n"/>
      <c r="D256" s="24" t="n"/>
      <c r="E256" s="25" t="n"/>
      <c r="F256" s="25" t="n"/>
      <c r="G256" s="25" t="n"/>
      <c r="H256" s="25" t="n"/>
      <c r="I256" s="25" t="n"/>
      <c r="J256" s="25" t="n"/>
      <c r="K256" s="25" t="n"/>
      <c r="L256" s="25" t="n"/>
      <c r="M256" s="25" t="n"/>
    </row>
    <row r="257" ht="14.25" customHeight="1">
      <c r="A257" s="23" t="n"/>
      <c r="B257" s="24" t="n"/>
      <c r="C257" s="24" t="n"/>
      <c r="D257" s="24" t="n"/>
      <c r="E257" s="25" t="n"/>
      <c r="F257" s="25" t="n"/>
      <c r="G257" s="25" t="n"/>
      <c r="H257" s="25" t="n"/>
      <c r="I257" s="25" t="n"/>
      <c r="J257" s="25" t="n"/>
      <c r="K257" s="25" t="n"/>
      <c r="L257" s="25" t="n"/>
      <c r="M257" s="25" t="n"/>
    </row>
    <row r="258" ht="14.25" customHeight="1">
      <c r="A258" s="23" t="n"/>
      <c r="B258" s="24" t="n"/>
      <c r="C258" s="24" t="n"/>
      <c r="D258" s="24" t="n"/>
      <c r="E258" s="25" t="n"/>
      <c r="F258" s="25" t="n"/>
      <c r="G258" s="25" t="n"/>
      <c r="H258" s="25" t="n"/>
      <c r="I258" s="25" t="n"/>
      <c r="J258" s="25" t="n"/>
      <c r="K258" s="25" t="n"/>
      <c r="L258" s="25" t="n"/>
      <c r="M258" s="25" t="n"/>
    </row>
    <row r="259" ht="14.25" customHeight="1">
      <c r="A259" s="23" t="n"/>
      <c r="B259" s="24" t="n"/>
      <c r="C259" s="24" t="n"/>
      <c r="D259" s="24" t="n"/>
      <c r="E259" s="25" t="n"/>
      <c r="F259" s="25" t="n"/>
      <c r="G259" s="25" t="n"/>
      <c r="H259" s="25" t="n"/>
      <c r="I259" s="25" t="n"/>
      <c r="J259" s="25" t="n"/>
      <c r="K259" s="25" t="n"/>
      <c r="L259" s="25" t="n"/>
      <c r="M259" s="25" t="n"/>
    </row>
    <row r="260" ht="14.25" customHeight="1">
      <c r="A260" s="23" t="n"/>
      <c r="B260" s="24" t="n"/>
      <c r="C260" s="24" t="n"/>
      <c r="D260" s="24" t="n"/>
      <c r="E260" s="25" t="n"/>
      <c r="F260" s="25" t="n"/>
      <c r="G260" s="25" t="n"/>
      <c r="H260" s="25" t="n"/>
      <c r="I260" s="25" t="n"/>
      <c r="J260" s="25" t="n"/>
      <c r="K260" s="25" t="n"/>
      <c r="L260" s="25" t="n"/>
      <c r="M260" s="25" t="n"/>
    </row>
    <row r="261" ht="14.25" customHeight="1">
      <c r="A261" s="23" t="n"/>
      <c r="B261" s="24" t="n"/>
      <c r="C261" s="24" t="n"/>
      <c r="D261" s="24" t="n"/>
      <c r="E261" s="25" t="n"/>
      <c r="F261" s="25" t="n"/>
      <c r="G261" s="25" t="n"/>
      <c r="H261" s="25" t="n"/>
      <c r="I261" s="25" t="n"/>
      <c r="J261" s="25" t="n"/>
      <c r="K261" s="25" t="n"/>
      <c r="L261" s="25" t="n"/>
      <c r="M261" s="25" t="n"/>
    </row>
    <row r="262" ht="14.25" customHeight="1">
      <c r="A262" s="23" t="n"/>
      <c r="B262" s="24" t="n"/>
      <c r="C262" s="24" t="n"/>
      <c r="D262" s="24" t="n"/>
      <c r="E262" s="25" t="n"/>
      <c r="F262" s="25" t="n"/>
      <c r="G262" s="25" t="n"/>
      <c r="H262" s="25" t="n"/>
      <c r="I262" s="25" t="n"/>
      <c r="J262" s="25" t="n"/>
      <c r="K262" s="25" t="n"/>
      <c r="L262" s="25" t="n"/>
      <c r="M262" s="25" t="n"/>
    </row>
    <row r="263" ht="14.25" customHeight="1">
      <c r="A263" s="23" t="n"/>
      <c r="B263" s="24" t="n"/>
      <c r="C263" s="24" t="n"/>
      <c r="D263" s="24" t="n"/>
      <c r="E263" s="25" t="n"/>
      <c r="F263" s="25" t="n"/>
      <c r="G263" s="25" t="n"/>
      <c r="H263" s="25" t="n"/>
      <c r="I263" s="25" t="n"/>
      <c r="J263" s="25" t="n"/>
      <c r="K263" s="25" t="n"/>
      <c r="L263" s="25" t="n"/>
      <c r="M263" s="25" t="n"/>
    </row>
    <row r="264" ht="14.25" customHeight="1">
      <c r="A264" s="23" t="n"/>
      <c r="B264" s="24" t="n"/>
      <c r="C264" s="24" t="n"/>
      <c r="D264" s="24" t="n"/>
      <c r="E264" s="25" t="n"/>
      <c r="F264" s="25" t="n"/>
      <c r="G264" s="25" t="n"/>
      <c r="H264" s="25" t="n"/>
      <c r="I264" s="25" t="n"/>
      <c r="J264" s="25" t="n"/>
      <c r="K264" s="25" t="n"/>
      <c r="L264" s="25" t="n"/>
      <c r="M264" s="25" t="n"/>
    </row>
    <row r="265" ht="14.25" customHeight="1">
      <c r="A265" s="23" t="n"/>
      <c r="B265" s="24" t="n"/>
      <c r="C265" s="24" t="n"/>
      <c r="D265" s="24" t="n"/>
      <c r="E265" s="25" t="n"/>
      <c r="F265" s="25" t="n"/>
      <c r="G265" s="25" t="n"/>
      <c r="H265" s="25" t="n"/>
      <c r="I265" s="25" t="n"/>
      <c r="J265" s="25" t="n"/>
      <c r="K265" s="25" t="n"/>
      <c r="L265" s="25" t="n"/>
      <c r="M265" s="25" t="n"/>
    </row>
    <row r="266" ht="14.25" customHeight="1">
      <c r="A266" s="23" t="n"/>
      <c r="B266" s="24" t="n"/>
      <c r="C266" s="24" t="n"/>
      <c r="D266" s="24" t="n"/>
      <c r="E266" s="25" t="n"/>
      <c r="F266" s="25" t="n"/>
      <c r="G266" s="25" t="n"/>
      <c r="H266" s="25" t="n"/>
      <c r="I266" s="25" t="n"/>
      <c r="J266" s="25" t="n"/>
      <c r="K266" s="25" t="n"/>
      <c r="L266" s="25" t="n"/>
      <c r="M266" s="25" t="n"/>
    </row>
    <row r="267" ht="14.25" customHeight="1">
      <c r="A267" s="23" t="n"/>
      <c r="B267" s="24" t="n"/>
      <c r="C267" s="24" t="n"/>
      <c r="D267" s="24" t="n"/>
      <c r="E267" s="25" t="n"/>
      <c r="F267" s="25" t="n"/>
      <c r="G267" s="25" t="n"/>
      <c r="H267" s="25" t="n"/>
      <c r="I267" s="25" t="n"/>
      <c r="J267" s="25" t="n"/>
      <c r="K267" s="25" t="n"/>
      <c r="L267" s="25" t="n"/>
      <c r="M267" s="25" t="n"/>
    </row>
    <row r="268" ht="14.25" customHeight="1">
      <c r="A268" s="23" t="n"/>
      <c r="B268" s="24" t="n"/>
      <c r="C268" s="24" t="n"/>
      <c r="D268" s="24" t="n"/>
      <c r="E268" s="25" t="n"/>
      <c r="F268" s="25" t="n"/>
      <c r="G268" s="25" t="n"/>
      <c r="H268" s="25" t="n"/>
      <c r="I268" s="25" t="n"/>
      <c r="J268" s="25" t="n"/>
      <c r="K268" s="25" t="n"/>
      <c r="L268" s="25" t="n"/>
      <c r="M268" s="25" t="n"/>
    </row>
    <row r="269" ht="14.25" customHeight="1">
      <c r="A269" s="23" t="n"/>
      <c r="B269" s="24" t="n"/>
      <c r="C269" s="24" t="n"/>
      <c r="D269" s="24" t="n"/>
      <c r="E269" s="25" t="n"/>
      <c r="F269" s="25" t="n"/>
      <c r="G269" s="25" t="n"/>
      <c r="H269" s="25" t="n"/>
      <c r="I269" s="25" t="n"/>
      <c r="J269" s="25" t="n"/>
      <c r="K269" s="25" t="n"/>
      <c r="L269" s="25" t="n"/>
      <c r="M269" s="25" t="n"/>
    </row>
    <row r="270" ht="14.25" customHeight="1">
      <c r="A270" s="23" t="n"/>
      <c r="B270" s="24" t="n"/>
      <c r="C270" s="24" t="n"/>
      <c r="D270" s="24" t="n"/>
      <c r="E270" s="25" t="n"/>
      <c r="F270" s="25" t="n"/>
      <c r="G270" s="25" t="n"/>
      <c r="H270" s="25" t="n"/>
      <c r="I270" s="25" t="n"/>
      <c r="J270" s="25" t="n"/>
      <c r="K270" s="25" t="n"/>
      <c r="L270" s="25" t="n"/>
      <c r="M270" s="25" t="n"/>
    </row>
    <row r="271" ht="14.25" customHeight="1">
      <c r="A271" s="23" t="n"/>
      <c r="B271" s="24" t="n"/>
      <c r="C271" s="24" t="n"/>
      <c r="D271" s="24" t="n"/>
      <c r="E271" s="25" t="n"/>
      <c r="F271" s="25" t="n"/>
      <c r="G271" s="25" t="n"/>
      <c r="H271" s="25" t="n"/>
      <c r="I271" s="25" t="n"/>
      <c r="J271" s="25" t="n"/>
      <c r="K271" s="25" t="n"/>
      <c r="L271" s="25" t="n"/>
      <c r="M271" s="25" t="n"/>
    </row>
    <row r="272" ht="14.25" customHeight="1">
      <c r="A272" s="23" t="n"/>
      <c r="B272" s="24" t="n"/>
      <c r="C272" s="24" t="n"/>
      <c r="D272" s="24" t="n"/>
      <c r="E272" s="25" t="n"/>
      <c r="F272" s="25" t="n"/>
      <c r="G272" s="25" t="n"/>
      <c r="H272" s="25" t="n"/>
      <c r="I272" s="25" t="n"/>
      <c r="J272" s="25" t="n"/>
      <c r="K272" s="25" t="n"/>
      <c r="L272" s="25" t="n"/>
      <c r="M272" s="25" t="n"/>
    </row>
    <row r="273" ht="14.25" customHeight="1">
      <c r="A273" s="23" t="n"/>
      <c r="B273" s="24" t="n"/>
      <c r="C273" s="24" t="n"/>
      <c r="D273" s="24" t="n"/>
      <c r="E273" s="25" t="n"/>
      <c r="F273" s="25" t="n"/>
      <c r="G273" s="25" t="n"/>
      <c r="H273" s="25" t="n"/>
      <c r="I273" s="25" t="n"/>
      <c r="J273" s="25" t="n"/>
      <c r="K273" s="25" t="n"/>
      <c r="L273" s="25" t="n"/>
      <c r="M273" s="25" t="n"/>
    </row>
    <row r="274" ht="14.25" customHeight="1">
      <c r="A274" s="23" t="n"/>
      <c r="B274" s="24" t="n"/>
      <c r="C274" s="24" t="n"/>
      <c r="D274" s="24" t="n"/>
      <c r="E274" s="25" t="n"/>
      <c r="F274" s="25" t="n"/>
      <c r="G274" s="25" t="n"/>
      <c r="H274" s="25" t="n"/>
      <c r="I274" s="25" t="n"/>
      <c r="J274" s="25" t="n"/>
      <c r="K274" s="25" t="n"/>
      <c r="L274" s="25" t="n"/>
      <c r="M274" s="25" t="n"/>
    </row>
    <row r="275" ht="14.25" customHeight="1">
      <c r="A275" s="23" t="n"/>
      <c r="B275" s="24" t="n"/>
      <c r="C275" s="24" t="n"/>
      <c r="D275" s="24" t="n"/>
      <c r="E275" s="25" t="n"/>
      <c r="F275" s="25" t="n"/>
      <c r="G275" s="25" t="n"/>
      <c r="H275" s="25" t="n"/>
      <c r="I275" s="25" t="n"/>
      <c r="J275" s="25" t="n"/>
      <c r="K275" s="25" t="n"/>
      <c r="L275" s="25" t="n"/>
      <c r="M275" s="25" t="n"/>
    </row>
    <row r="276" ht="14.25" customHeight="1">
      <c r="A276" s="23" t="n"/>
      <c r="B276" s="24" t="n"/>
      <c r="C276" s="24" t="n"/>
      <c r="D276" s="24" t="n"/>
      <c r="E276" s="25" t="n"/>
      <c r="F276" s="25" t="n"/>
      <c r="G276" s="25" t="n"/>
      <c r="H276" s="25" t="n"/>
      <c r="I276" s="25" t="n"/>
      <c r="J276" s="25" t="n"/>
      <c r="K276" s="25" t="n"/>
      <c r="L276" s="25" t="n"/>
      <c r="M276" s="25" t="n"/>
    </row>
    <row r="277" ht="14.25" customHeight="1">
      <c r="A277" s="23" t="n"/>
      <c r="B277" s="24" t="n"/>
      <c r="C277" s="24" t="n"/>
      <c r="D277" s="24" t="n"/>
      <c r="E277" s="25" t="n"/>
      <c r="F277" s="25" t="n"/>
      <c r="G277" s="25" t="n"/>
      <c r="H277" s="25" t="n"/>
      <c r="I277" s="25" t="n"/>
      <c r="J277" s="25" t="n"/>
      <c r="K277" s="25" t="n"/>
      <c r="L277" s="25" t="n"/>
      <c r="M277" s="25" t="n"/>
    </row>
    <row r="278" ht="14.25" customHeight="1">
      <c r="A278" s="23" t="n"/>
      <c r="B278" s="24" t="n"/>
      <c r="C278" s="24" t="n"/>
      <c r="D278" s="24" t="n"/>
      <c r="E278" s="25" t="n"/>
      <c r="F278" s="25" t="n"/>
      <c r="G278" s="25" t="n"/>
      <c r="H278" s="25" t="n"/>
      <c r="I278" s="25" t="n"/>
      <c r="J278" s="25" t="n"/>
      <c r="K278" s="25" t="n"/>
      <c r="L278" s="25" t="n"/>
      <c r="M278" s="25" t="n"/>
    </row>
    <row r="279" ht="14.25" customHeight="1">
      <c r="A279" s="23" t="n"/>
      <c r="B279" s="24" t="n"/>
      <c r="C279" s="24" t="n"/>
      <c r="D279" s="24" t="n"/>
      <c r="E279" s="25" t="n"/>
      <c r="F279" s="25" t="n"/>
      <c r="G279" s="25" t="n"/>
      <c r="H279" s="25" t="n"/>
      <c r="I279" s="25" t="n"/>
      <c r="J279" s="25" t="n"/>
      <c r="K279" s="25" t="n"/>
      <c r="L279" s="25" t="n"/>
      <c r="M279" s="25" t="n"/>
    </row>
    <row r="280" ht="14.25" customHeight="1">
      <c r="A280" s="23" t="n"/>
      <c r="B280" s="24" t="n"/>
      <c r="C280" s="24" t="n"/>
      <c r="D280" s="24" t="n"/>
      <c r="E280" s="25" t="n"/>
      <c r="F280" s="25" t="n"/>
      <c r="G280" s="25" t="n"/>
      <c r="H280" s="25" t="n"/>
      <c r="I280" s="25" t="n"/>
      <c r="J280" s="25" t="n"/>
      <c r="K280" s="25" t="n"/>
      <c r="L280" s="25" t="n"/>
      <c r="M280" s="25" t="n"/>
    </row>
    <row r="281" ht="14.25" customHeight="1">
      <c r="A281" s="23" t="n"/>
      <c r="B281" s="24" t="n"/>
      <c r="C281" s="24" t="n"/>
      <c r="D281" s="24" t="n"/>
      <c r="E281" s="25" t="n"/>
      <c r="F281" s="25" t="n"/>
      <c r="G281" s="25" t="n"/>
      <c r="H281" s="25" t="n"/>
      <c r="I281" s="25" t="n"/>
      <c r="J281" s="25" t="n"/>
      <c r="K281" s="25" t="n"/>
      <c r="L281" s="25" t="n"/>
      <c r="M281" s="25" t="n"/>
    </row>
    <row r="282" ht="14.25" customHeight="1">
      <c r="A282" s="23" t="n"/>
      <c r="B282" s="24" t="n"/>
      <c r="C282" s="24" t="n"/>
      <c r="D282" s="24" t="n"/>
      <c r="E282" s="25" t="n"/>
      <c r="F282" s="25" t="n"/>
      <c r="G282" s="25" t="n"/>
      <c r="H282" s="25" t="n"/>
      <c r="I282" s="25" t="n"/>
      <c r="J282" s="25" t="n"/>
      <c r="K282" s="25" t="n"/>
      <c r="L282" s="25" t="n"/>
      <c r="M282" s="25" t="n"/>
    </row>
    <row r="283" ht="14.25" customHeight="1">
      <c r="A283" s="23" t="n"/>
      <c r="B283" s="24" t="n"/>
      <c r="C283" s="24" t="n"/>
      <c r="D283" s="24" t="n"/>
      <c r="E283" s="25" t="n"/>
      <c r="F283" s="25" t="n"/>
      <c r="G283" s="25" t="n"/>
      <c r="H283" s="25" t="n"/>
      <c r="I283" s="25" t="n"/>
      <c r="J283" s="25" t="n"/>
      <c r="K283" s="25" t="n"/>
      <c r="L283" s="25" t="n"/>
      <c r="M283" s="25" t="n"/>
    </row>
    <row r="284" ht="14.25" customHeight="1">
      <c r="A284" s="23" t="n"/>
      <c r="B284" s="24" t="n"/>
      <c r="C284" s="24" t="n"/>
      <c r="D284" s="24" t="n"/>
      <c r="E284" s="25" t="n"/>
      <c r="F284" s="25" t="n"/>
      <c r="G284" s="25" t="n"/>
      <c r="H284" s="25" t="n"/>
      <c r="I284" s="25" t="n"/>
      <c r="J284" s="25" t="n"/>
      <c r="K284" s="25" t="n"/>
      <c r="L284" s="25" t="n"/>
      <c r="M284" s="25" t="n"/>
    </row>
    <row r="285" ht="14.25" customHeight="1">
      <c r="A285" s="23" t="n"/>
      <c r="B285" s="24" t="n"/>
      <c r="C285" s="24" t="n"/>
      <c r="D285" s="24" t="n"/>
      <c r="E285" s="25" t="n"/>
      <c r="F285" s="25" t="n"/>
      <c r="G285" s="25" t="n"/>
      <c r="H285" s="25" t="n"/>
      <c r="I285" s="25" t="n"/>
      <c r="J285" s="25" t="n"/>
      <c r="K285" s="25" t="n"/>
      <c r="L285" s="25" t="n"/>
      <c r="M285" s="25" t="n"/>
    </row>
    <row r="286" ht="14.25" customHeight="1">
      <c r="A286" s="23" t="n"/>
      <c r="B286" s="24" t="n"/>
      <c r="C286" s="24" t="n"/>
      <c r="D286" s="24" t="n"/>
      <c r="E286" s="25" t="n"/>
      <c r="F286" s="25" t="n"/>
      <c r="G286" s="25" t="n"/>
      <c r="H286" s="25" t="n"/>
      <c r="I286" s="25" t="n"/>
      <c r="J286" s="25" t="n"/>
      <c r="K286" s="25" t="n"/>
      <c r="L286" s="25" t="n"/>
      <c r="M286" s="25" t="n"/>
    </row>
    <row r="287" ht="14.25" customHeight="1">
      <c r="A287" s="23" t="n"/>
      <c r="B287" s="24" t="n"/>
      <c r="C287" s="24" t="n"/>
      <c r="D287" s="24" t="n"/>
      <c r="E287" s="25" t="n"/>
      <c r="F287" s="25" t="n"/>
      <c r="G287" s="25" t="n"/>
      <c r="H287" s="25" t="n"/>
      <c r="I287" s="25" t="n"/>
      <c r="J287" s="25" t="n"/>
      <c r="K287" s="25" t="n"/>
      <c r="L287" s="25" t="n"/>
      <c r="M287" s="25" t="n"/>
    </row>
    <row r="288" ht="14.25" customHeight="1">
      <c r="A288" s="23" t="n"/>
      <c r="B288" s="24" t="n"/>
      <c r="C288" s="24" t="n"/>
      <c r="D288" s="24" t="n"/>
      <c r="E288" s="25" t="n"/>
      <c r="F288" s="25" t="n"/>
      <c r="G288" s="25" t="n"/>
      <c r="H288" s="25" t="n"/>
      <c r="I288" s="25" t="n"/>
      <c r="J288" s="25" t="n"/>
      <c r="K288" s="25" t="n"/>
      <c r="L288" s="25" t="n"/>
      <c r="M288" s="25" t="n"/>
    </row>
    <row r="289" ht="14.25" customHeight="1">
      <c r="A289" s="23" t="n"/>
      <c r="B289" s="24" t="n"/>
      <c r="C289" s="24" t="n"/>
      <c r="D289" s="24" t="n"/>
      <c r="E289" s="25" t="n"/>
      <c r="F289" s="25" t="n"/>
      <c r="G289" s="25" t="n"/>
      <c r="H289" s="25" t="n"/>
      <c r="I289" s="25" t="n"/>
      <c r="J289" s="25" t="n"/>
      <c r="K289" s="25" t="n"/>
      <c r="L289" s="25" t="n"/>
      <c r="M289" s="25" t="n"/>
    </row>
    <row r="290" ht="14.25" customHeight="1">
      <c r="A290" s="23" t="n"/>
      <c r="B290" s="24" t="n"/>
      <c r="C290" s="24" t="n"/>
      <c r="D290" s="24" t="n"/>
      <c r="E290" s="25" t="n"/>
      <c r="F290" s="25" t="n"/>
      <c r="G290" s="25" t="n"/>
      <c r="H290" s="25" t="n"/>
      <c r="I290" s="25" t="n"/>
      <c r="J290" s="25" t="n"/>
      <c r="K290" s="25" t="n"/>
      <c r="L290" s="25" t="n"/>
      <c r="M290" s="25" t="n"/>
    </row>
    <row r="291" ht="14.25" customHeight="1">
      <c r="A291" s="23" t="n"/>
      <c r="B291" s="24" t="n"/>
      <c r="C291" s="24" t="n"/>
      <c r="D291" s="24" t="n"/>
      <c r="E291" s="25" t="n"/>
      <c r="F291" s="25" t="n"/>
      <c r="G291" s="25" t="n"/>
      <c r="H291" s="25" t="n"/>
      <c r="I291" s="25" t="n"/>
      <c r="J291" s="25" t="n"/>
      <c r="K291" s="25" t="n"/>
      <c r="L291" s="25" t="n"/>
      <c r="M291" s="25" t="n"/>
    </row>
    <row r="292" ht="14.25" customHeight="1">
      <c r="A292" s="23" t="n"/>
      <c r="B292" s="24" t="n"/>
      <c r="C292" s="24" t="n"/>
      <c r="D292" s="24" t="n"/>
      <c r="E292" s="25" t="n"/>
      <c r="F292" s="25" t="n"/>
      <c r="G292" s="25" t="n"/>
      <c r="H292" s="25" t="n"/>
      <c r="I292" s="25" t="n"/>
      <c r="J292" s="25" t="n"/>
      <c r="K292" s="25" t="n"/>
      <c r="L292" s="25" t="n"/>
      <c r="M292" s="25" t="n"/>
    </row>
    <row r="293" ht="14.25" customHeight="1">
      <c r="A293" s="23" t="n"/>
      <c r="B293" s="24" t="n"/>
      <c r="C293" s="24" t="n"/>
      <c r="D293" s="24" t="n"/>
      <c r="E293" s="25" t="n"/>
      <c r="F293" s="25" t="n"/>
      <c r="G293" s="25" t="n"/>
      <c r="H293" s="25" t="n"/>
      <c r="I293" s="25" t="n"/>
      <c r="J293" s="25" t="n"/>
      <c r="K293" s="25" t="n"/>
      <c r="L293" s="25" t="n"/>
      <c r="M293" s="25" t="n"/>
    </row>
    <row r="294" ht="14.25" customHeight="1">
      <c r="A294" s="23" t="n"/>
      <c r="B294" s="24" t="n"/>
      <c r="C294" s="24" t="n"/>
      <c r="D294" s="24" t="n"/>
      <c r="E294" s="25" t="n"/>
      <c r="F294" s="25" t="n"/>
      <c r="G294" s="25" t="n"/>
      <c r="H294" s="25" t="n"/>
      <c r="I294" s="25" t="n"/>
      <c r="J294" s="25" t="n"/>
      <c r="K294" s="25" t="n"/>
      <c r="L294" s="25" t="n"/>
      <c r="M294" s="25" t="n"/>
    </row>
    <row r="295" ht="14.25" customHeight="1">
      <c r="A295" s="23" t="n"/>
      <c r="B295" s="24" t="n"/>
      <c r="C295" s="24" t="n"/>
      <c r="D295" s="24" t="n"/>
      <c r="E295" s="25" t="n"/>
      <c r="F295" s="25" t="n"/>
      <c r="G295" s="25" t="n"/>
      <c r="H295" s="25" t="n"/>
      <c r="I295" s="25" t="n"/>
      <c r="J295" s="25" t="n"/>
      <c r="K295" s="25" t="n"/>
      <c r="L295" s="25" t="n"/>
      <c r="M295" s="25" t="n"/>
    </row>
    <row r="296" ht="14.25" customHeight="1">
      <c r="A296" s="23" t="n"/>
      <c r="B296" s="24" t="n"/>
      <c r="C296" s="24" t="n"/>
      <c r="D296" s="24" t="n"/>
      <c r="E296" s="25" t="n"/>
      <c r="F296" s="25" t="n"/>
      <c r="G296" s="25" t="n"/>
      <c r="H296" s="25" t="n"/>
      <c r="I296" s="25" t="n"/>
      <c r="J296" s="25" t="n"/>
      <c r="K296" s="25" t="n"/>
      <c r="L296" s="25" t="n"/>
      <c r="M296" s="25" t="n"/>
    </row>
    <row r="297" ht="14.25" customHeight="1">
      <c r="A297" s="23" t="n"/>
      <c r="B297" s="24" t="n"/>
      <c r="C297" s="24" t="n"/>
      <c r="D297" s="24" t="n"/>
      <c r="E297" s="25" t="n"/>
      <c r="F297" s="25" t="n"/>
      <c r="G297" s="25" t="n"/>
      <c r="H297" s="25" t="n"/>
      <c r="I297" s="25" t="n"/>
      <c r="J297" s="25" t="n"/>
      <c r="K297" s="25" t="n"/>
      <c r="L297" s="25" t="n"/>
      <c r="M297" s="25" t="n"/>
    </row>
    <row r="298" ht="14.25" customHeight="1">
      <c r="A298" s="23" t="n"/>
      <c r="B298" s="24" t="n"/>
      <c r="C298" s="24" t="n"/>
      <c r="D298" s="24" t="n"/>
      <c r="E298" s="25" t="n"/>
      <c r="F298" s="25" t="n"/>
      <c r="G298" s="25" t="n"/>
      <c r="H298" s="25" t="n"/>
      <c r="I298" s="25" t="n"/>
      <c r="J298" s="25" t="n"/>
      <c r="K298" s="25" t="n"/>
      <c r="L298" s="25" t="n"/>
      <c r="M298" s="25" t="n"/>
    </row>
    <row r="299" ht="14.25" customHeight="1">
      <c r="A299" s="23" t="n"/>
      <c r="B299" s="24" t="n"/>
      <c r="C299" s="24" t="n"/>
      <c r="D299" s="24" t="n"/>
      <c r="E299" s="25" t="n"/>
      <c r="F299" s="25" t="n"/>
      <c r="G299" s="25" t="n"/>
      <c r="H299" s="25" t="n"/>
      <c r="I299" s="25" t="n"/>
      <c r="J299" s="25" t="n"/>
      <c r="K299" s="25" t="n"/>
      <c r="L299" s="25" t="n"/>
      <c r="M299" s="25" t="n"/>
    </row>
    <row r="300" ht="14.25" customHeight="1">
      <c r="A300" s="23" t="n"/>
      <c r="B300" s="24" t="n"/>
      <c r="C300" s="24" t="n"/>
      <c r="D300" s="24" t="n"/>
      <c r="E300" s="25" t="n"/>
      <c r="F300" s="25" t="n"/>
      <c r="G300" s="25" t="n"/>
      <c r="H300" s="25" t="n"/>
      <c r="I300" s="25" t="n"/>
      <c r="J300" s="25" t="n"/>
      <c r="K300" s="25" t="n"/>
      <c r="L300" s="25" t="n"/>
      <c r="M300" s="25" t="n"/>
    </row>
    <row r="301" ht="14.25" customHeight="1">
      <c r="A301" s="23" t="n"/>
      <c r="B301" s="24" t="n"/>
      <c r="C301" s="24" t="n"/>
      <c r="D301" s="24" t="n"/>
      <c r="E301" s="25" t="n"/>
      <c r="F301" s="25" t="n"/>
      <c r="G301" s="25" t="n"/>
      <c r="H301" s="25" t="n"/>
      <c r="I301" s="25" t="n"/>
      <c r="J301" s="25" t="n"/>
      <c r="K301" s="25" t="n"/>
      <c r="L301" s="25" t="n"/>
      <c r="M301" s="25" t="n"/>
    </row>
    <row r="302" ht="14.25" customHeight="1">
      <c r="A302" s="23" t="n"/>
      <c r="B302" s="24" t="n"/>
      <c r="C302" s="24" t="n"/>
      <c r="D302" s="24" t="n"/>
      <c r="E302" s="25" t="n"/>
      <c r="F302" s="25" t="n"/>
      <c r="G302" s="25" t="n"/>
      <c r="H302" s="25" t="n"/>
      <c r="I302" s="25" t="n"/>
      <c r="J302" s="25" t="n"/>
      <c r="K302" s="25" t="n"/>
      <c r="L302" s="25" t="n"/>
      <c r="M302" s="25" t="n"/>
    </row>
    <row r="303" ht="14.25" customHeight="1">
      <c r="A303" s="23" t="n"/>
      <c r="B303" s="24" t="n"/>
      <c r="C303" s="24" t="n"/>
      <c r="D303" s="24" t="n"/>
      <c r="E303" s="25" t="n"/>
      <c r="F303" s="25" t="n"/>
      <c r="G303" s="25" t="n"/>
      <c r="H303" s="25" t="n"/>
      <c r="I303" s="25" t="n"/>
      <c r="J303" s="25" t="n"/>
      <c r="K303" s="25" t="n"/>
      <c r="L303" s="25" t="n"/>
      <c r="M303" s="25" t="n"/>
    </row>
    <row r="304" ht="14.25" customHeight="1">
      <c r="A304" s="23" t="n"/>
      <c r="B304" s="24" t="n"/>
      <c r="C304" s="24" t="n"/>
      <c r="D304" s="24" t="n"/>
      <c r="E304" s="25" t="n"/>
      <c r="F304" s="25" t="n"/>
      <c r="G304" s="25" t="n"/>
      <c r="H304" s="25" t="n"/>
      <c r="I304" s="25" t="n"/>
      <c r="J304" s="25" t="n"/>
      <c r="K304" s="25" t="n"/>
      <c r="L304" s="25" t="n"/>
      <c r="M304" s="25" t="n"/>
    </row>
    <row r="305" ht="14.25" customHeight="1">
      <c r="A305" s="23" t="n"/>
      <c r="B305" s="24" t="n"/>
      <c r="C305" s="24" t="n"/>
      <c r="D305" s="24" t="n"/>
      <c r="E305" s="25" t="n"/>
      <c r="F305" s="25" t="n"/>
      <c r="G305" s="25" t="n"/>
      <c r="H305" s="25" t="n"/>
      <c r="I305" s="25" t="n"/>
      <c r="J305" s="25" t="n"/>
      <c r="K305" s="25" t="n"/>
      <c r="L305" s="25" t="n"/>
      <c r="M305" s="25" t="n"/>
    </row>
    <row r="306" ht="14.25" customHeight="1">
      <c r="A306" s="23" t="n"/>
      <c r="B306" s="24" t="n"/>
      <c r="C306" s="24" t="n"/>
      <c r="D306" s="24" t="n"/>
      <c r="E306" s="25" t="n"/>
      <c r="F306" s="25" t="n"/>
      <c r="G306" s="25" t="n"/>
      <c r="H306" s="25" t="n"/>
      <c r="I306" s="25" t="n"/>
      <c r="J306" s="25" t="n"/>
      <c r="K306" s="25" t="n"/>
      <c r="L306" s="25" t="n"/>
      <c r="M306" s="25" t="n"/>
    </row>
    <row r="307" ht="14.25" customHeight="1">
      <c r="A307" s="23" t="n"/>
      <c r="B307" s="24" t="n"/>
      <c r="C307" s="24" t="n"/>
      <c r="D307" s="24" t="n"/>
      <c r="E307" s="25" t="n"/>
      <c r="F307" s="25" t="n"/>
      <c r="G307" s="25" t="n"/>
      <c r="H307" s="25" t="n"/>
      <c r="I307" s="25" t="n"/>
      <c r="J307" s="25" t="n"/>
      <c r="K307" s="25" t="n"/>
      <c r="L307" s="25" t="n"/>
      <c r="M307" s="25" t="n"/>
    </row>
    <row r="308" ht="14.25" customHeight="1">
      <c r="A308" s="23" t="n"/>
      <c r="B308" s="24" t="n"/>
      <c r="C308" s="24" t="n"/>
      <c r="D308" s="24" t="n"/>
      <c r="E308" s="25" t="n"/>
      <c r="F308" s="25" t="n"/>
      <c r="G308" s="25" t="n"/>
      <c r="H308" s="25" t="n"/>
      <c r="I308" s="25" t="n"/>
      <c r="J308" s="25" t="n"/>
      <c r="K308" s="25" t="n"/>
      <c r="L308" s="25" t="n"/>
      <c r="M308" s="25" t="n"/>
    </row>
    <row r="309" ht="14.25" customHeight="1">
      <c r="A309" s="23" t="n"/>
      <c r="B309" s="24" t="n"/>
      <c r="C309" s="24" t="n"/>
      <c r="D309" s="24" t="n"/>
      <c r="E309" s="25" t="n"/>
      <c r="F309" s="25" t="n"/>
      <c r="G309" s="25" t="n"/>
      <c r="H309" s="25" t="n"/>
      <c r="I309" s="25" t="n"/>
      <c r="J309" s="25" t="n"/>
      <c r="K309" s="25" t="n"/>
      <c r="L309" s="25" t="n"/>
      <c r="M309" s="25" t="n"/>
    </row>
    <row r="310" ht="14.25" customHeight="1">
      <c r="A310" s="23" t="n"/>
      <c r="B310" s="24" t="n"/>
      <c r="C310" s="24" t="n"/>
      <c r="D310" s="24" t="n"/>
      <c r="E310" s="25" t="n"/>
      <c r="F310" s="25" t="n"/>
      <c r="G310" s="25" t="n"/>
      <c r="H310" s="25" t="n"/>
      <c r="I310" s="25" t="n"/>
      <c r="J310" s="25" t="n"/>
      <c r="K310" s="25" t="n"/>
      <c r="L310" s="25" t="n"/>
      <c r="M310" s="25" t="n"/>
    </row>
    <row r="311" ht="14.25" customHeight="1">
      <c r="A311" s="23" t="n"/>
      <c r="B311" s="24" t="n"/>
      <c r="C311" s="24" t="n"/>
      <c r="D311" s="24" t="n"/>
      <c r="E311" s="25" t="n"/>
      <c r="F311" s="25" t="n"/>
      <c r="G311" s="25" t="n"/>
      <c r="H311" s="25" t="n"/>
      <c r="I311" s="25" t="n"/>
      <c r="J311" s="25" t="n"/>
      <c r="K311" s="25" t="n"/>
      <c r="L311" s="25" t="n"/>
      <c r="M311" s="25" t="n"/>
    </row>
    <row r="312" ht="14.25" customHeight="1">
      <c r="A312" s="23" t="n"/>
      <c r="B312" s="24" t="n"/>
      <c r="C312" s="24" t="n"/>
      <c r="D312" s="24" t="n"/>
      <c r="E312" s="25" t="n"/>
      <c r="F312" s="25" t="n"/>
      <c r="G312" s="25" t="n"/>
      <c r="H312" s="25" t="n"/>
      <c r="I312" s="25" t="n"/>
      <c r="J312" s="25" t="n"/>
      <c r="K312" s="25" t="n"/>
      <c r="L312" s="25" t="n"/>
      <c r="M312" s="25" t="n"/>
    </row>
    <row r="313" ht="14.25" customHeight="1">
      <c r="A313" s="23" t="n"/>
      <c r="B313" s="24" t="n"/>
      <c r="C313" s="24" t="n"/>
      <c r="D313" s="24" t="n"/>
      <c r="E313" s="25" t="n"/>
      <c r="F313" s="25" t="n"/>
      <c r="G313" s="25" t="n"/>
      <c r="H313" s="25" t="n"/>
      <c r="I313" s="25" t="n"/>
      <c r="J313" s="25" t="n"/>
      <c r="K313" s="25" t="n"/>
      <c r="L313" s="25" t="n"/>
      <c r="M313" s="25" t="n"/>
    </row>
    <row r="314" ht="14.25" customHeight="1">
      <c r="A314" s="23" t="n"/>
      <c r="B314" s="24" t="n"/>
      <c r="C314" s="24" t="n"/>
      <c r="D314" s="24" t="n"/>
      <c r="E314" s="25" t="n"/>
      <c r="F314" s="25" t="n"/>
      <c r="G314" s="25" t="n"/>
      <c r="H314" s="25" t="n"/>
      <c r="I314" s="25" t="n"/>
      <c r="J314" s="25" t="n"/>
      <c r="K314" s="25" t="n"/>
      <c r="L314" s="25" t="n"/>
      <c r="M314" s="25" t="n"/>
    </row>
    <row r="315" ht="14.25" customHeight="1">
      <c r="A315" s="23" t="n"/>
      <c r="B315" s="24" t="n"/>
      <c r="C315" s="24" t="n"/>
      <c r="D315" s="24" t="n"/>
      <c r="E315" s="25" t="n"/>
      <c r="F315" s="25" t="n"/>
      <c r="G315" s="25" t="n"/>
      <c r="H315" s="25" t="n"/>
      <c r="I315" s="25" t="n"/>
      <c r="J315" s="25" t="n"/>
      <c r="K315" s="25" t="n"/>
      <c r="L315" s="25" t="n"/>
      <c r="M315" s="25" t="n"/>
    </row>
    <row r="316" ht="14.25" customHeight="1">
      <c r="A316" s="23" t="n"/>
      <c r="B316" s="24" t="n"/>
      <c r="C316" s="24" t="n"/>
      <c r="D316" s="24" t="n"/>
      <c r="E316" s="25" t="n"/>
      <c r="F316" s="25" t="n"/>
      <c r="G316" s="25" t="n"/>
      <c r="H316" s="25" t="n"/>
      <c r="I316" s="25" t="n"/>
      <c r="J316" s="25" t="n"/>
      <c r="K316" s="25" t="n"/>
      <c r="L316" s="25" t="n"/>
      <c r="M316" s="25" t="n"/>
    </row>
    <row r="317" ht="14.25" customHeight="1">
      <c r="A317" s="23" t="n"/>
      <c r="B317" s="24" t="n"/>
      <c r="C317" s="24" t="n"/>
      <c r="D317" s="24" t="n"/>
      <c r="E317" s="25" t="n"/>
      <c r="F317" s="25" t="n"/>
      <c r="G317" s="25" t="n"/>
      <c r="H317" s="25" t="n"/>
      <c r="I317" s="25" t="n"/>
      <c r="J317" s="25" t="n"/>
      <c r="K317" s="25" t="n"/>
      <c r="L317" s="25" t="n"/>
      <c r="M317" s="25" t="n"/>
    </row>
    <row r="318" ht="14.25" customHeight="1">
      <c r="A318" s="23" t="n"/>
      <c r="B318" s="24" t="n"/>
      <c r="C318" s="24" t="n"/>
      <c r="D318" s="24" t="n"/>
      <c r="E318" s="25" t="n"/>
      <c r="F318" s="25" t="n"/>
      <c r="G318" s="25" t="n"/>
      <c r="H318" s="25" t="n"/>
      <c r="I318" s="25" t="n"/>
      <c r="J318" s="25" t="n"/>
      <c r="K318" s="25" t="n"/>
      <c r="L318" s="25" t="n"/>
      <c r="M318" s="25" t="n"/>
    </row>
    <row r="319" ht="14.25" customHeight="1">
      <c r="A319" s="23" t="n"/>
      <c r="B319" s="24" t="n"/>
      <c r="C319" s="24" t="n"/>
      <c r="D319" s="24" t="n"/>
      <c r="E319" s="25" t="n"/>
      <c r="F319" s="25" t="n"/>
      <c r="G319" s="25" t="n"/>
      <c r="H319" s="25" t="n"/>
      <c r="I319" s="25" t="n"/>
      <c r="J319" s="25" t="n"/>
      <c r="K319" s="25" t="n"/>
      <c r="L319" s="25" t="n"/>
      <c r="M319" s="25" t="n"/>
    </row>
    <row r="320" ht="14.25" customHeight="1">
      <c r="A320" s="23" t="n"/>
      <c r="B320" s="24" t="n"/>
      <c r="C320" s="24" t="n"/>
      <c r="D320" s="24" t="n"/>
      <c r="E320" s="25" t="n"/>
      <c r="F320" s="25" t="n"/>
      <c r="G320" s="25" t="n"/>
      <c r="H320" s="25" t="n"/>
      <c r="I320" s="25" t="n"/>
      <c r="J320" s="25" t="n"/>
      <c r="K320" s="25" t="n"/>
      <c r="L320" s="25" t="n"/>
      <c r="M320" s="25" t="n"/>
    </row>
    <row r="321" ht="14.25" customHeight="1">
      <c r="A321" s="23" t="n"/>
      <c r="B321" s="24" t="n"/>
      <c r="C321" s="24" t="n"/>
      <c r="D321" s="24" t="n"/>
      <c r="E321" s="25" t="n"/>
      <c r="F321" s="25" t="n"/>
      <c r="G321" s="25" t="n"/>
      <c r="H321" s="25" t="n"/>
      <c r="I321" s="25" t="n"/>
      <c r="J321" s="25" t="n"/>
      <c r="K321" s="25" t="n"/>
      <c r="L321" s="25" t="n"/>
      <c r="M321" s="25" t="n"/>
    </row>
    <row r="322" ht="14.25" customHeight="1">
      <c r="A322" s="23" t="n"/>
      <c r="B322" s="24" t="n"/>
      <c r="C322" s="24" t="n"/>
      <c r="D322" s="24" t="n"/>
      <c r="E322" s="25" t="n"/>
      <c r="F322" s="25" t="n"/>
      <c r="G322" s="25" t="n"/>
      <c r="H322" s="25" t="n"/>
      <c r="I322" s="25" t="n"/>
      <c r="J322" s="25" t="n"/>
      <c r="K322" s="25" t="n"/>
      <c r="L322" s="25" t="n"/>
      <c r="M322" s="25" t="n"/>
    </row>
    <row r="323" ht="14.25" customHeight="1">
      <c r="A323" s="23" t="n"/>
      <c r="B323" s="24" t="n"/>
      <c r="C323" s="24" t="n"/>
      <c r="D323" s="24" t="n"/>
      <c r="E323" s="25" t="n"/>
      <c r="F323" s="25" t="n"/>
      <c r="G323" s="25" t="n"/>
      <c r="H323" s="25" t="n"/>
      <c r="I323" s="25" t="n"/>
      <c r="J323" s="25" t="n"/>
      <c r="K323" s="25" t="n"/>
      <c r="L323" s="25" t="n"/>
      <c r="M323" s="25" t="n"/>
    </row>
    <row r="324" ht="14.25" customHeight="1">
      <c r="A324" s="23" t="n"/>
      <c r="B324" s="24" t="n"/>
      <c r="C324" s="24" t="n"/>
      <c r="D324" s="24" t="n"/>
      <c r="E324" s="25" t="n"/>
      <c r="F324" s="25" t="n"/>
      <c r="G324" s="25" t="n"/>
      <c r="H324" s="25" t="n"/>
      <c r="I324" s="25" t="n"/>
      <c r="J324" s="25" t="n"/>
      <c r="K324" s="25" t="n"/>
      <c r="L324" s="25" t="n"/>
      <c r="M324" s="25" t="n"/>
    </row>
    <row r="325" ht="14.25" customHeight="1">
      <c r="A325" s="23" t="n"/>
      <c r="B325" s="24" t="n"/>
      <c r="C325" s="24" t="n"/>
      <c r="D325" s="24" t="n"/>
      <c r="E325" s="25" t="n"/>
      <c r="F325" s="25" t="n"/>
      <c r="G325" s="25" t="n"/>
      <c r="H325" s="25" t="n"/>
      <c r="I325" s="25" t="n"/>
      <c r="J325" s="25" t="n"/>
      <c r="K325" s="25" t="n"/>
      <c r="L325" s="25" t="n"/>
      <c r="M325" s="25" t="n"/>
    </row>
    <row r="326" ht="14.25" customHeight="1">
      <c r="A326" s="23" t="n"/>
      <c r="B326" s="24" t="n"/>
      <c r="C326" s="24" t="n"/>
      <c r="D326" s="24" t="n"/>
      <c r="E326" s="25" t="n"/>
      <c r="F326" s="25" t="n"/>
      <c r="G326" s="25" t="n"/>
      <c r="H326" s="25" t="n"/>
      <c r="I326" s="25" t="n"/>
      <c r="J326" s="25" t="n"/>
      <c r="K326" s="25" t="n"/>
      <c r="L326" s="25" t="n"/>
      <c r="M326" s="25" t="n"/>
    </row>
    <row r="327" ht="14.25" customHeight="1">
      <c r="A327" s="23" t="n"/>
      <c r="B327" s="24" t="n"/>
      <c r="C327" s="24" t="n"/>
      <c r="D327" s="24" t="n"/>
      <c r="E327" s="25" t="n"/>
      <c r="F327" s="25" t="n"/>
      <c r="G327" s="25" t="n"/>
      <c r="H327" s="25" t="n"/>
      <c r="I327" s="25" t="n"/>
      <c r="J327" s="25" t="n"/>
      <c r="K327" s="25" t="n"/>
      <c r="L327" s="25" t="n"/>
      <c r="M327" s="25" t="n"/>
    </row>
    <row r="328" ht="14.25" customHeight="1">
      <c r="A328" s="23" t="n"/>
      <c r="B328" s="24" t="n"/>
      <c r="C328" s="24" t="n"/>
      <c r="D328" s="24" t="n"/>
      <c r="E328" s="25" t="n"/>
      <c r="F328" s="25" t="n"/>
      <c r="G328" s="25" t="n"/>
      <c r="H328" s="25" t="n"/>
      <c r="I328" s="25" t="n"/>
      <c r="J328" s="25" t="n"/>
      <c r="K328" s="25" t="n"/>
      <c r="L328" s="25" t="n"/>
      <c r="M328" s="25" t="n"/>
    </row>
    <row r="329" ht="14.25" customHeight="1">
      <c r="A329" s="23" t="n"/>
      <c r="B329" s="24" t="n"/>
      <c r="C329" s="24" t="n"/>
      <c r="D329" s="24" t="n"/>
      <c r="E329" s="25" t="n"/>
      <c r="F329" s="25" t="n"/>
      <c r="G329" s="25" t="n"/>
      <c r="H329" s="25" t="n"/>
      <c r="I329" s="25" t="n"/>
      <c r="J329" s="25" t="n"/>
      <c r="K329" s="25" t="n"/>
      <c r="L329" s="25" t="n"/>
      <c r="M329" s="25" t="n"/>
    </row>
    <row r="330" ht="14.25" customHeight="1">
      <c r="A330" s="23" t="n"/>
      <c r="B330" s="24" t="n"/>
      <c r="C330" s="24" t="n"/>
      <c r="D330" s="24" t="n"/>
      <c r="E330" s="25" t="n"/>
      <c r="F330" s="25" t="n"/>
      <c r="G330" s="25" t="n"/>
      <c r="H330" s="25" t="n"/>
      <c r="I330" s="25" t="n"/>
      <c r="J330" s="25" t="n"/>
      <c r="K330" s="25" t="n"/>
      <c r="L330" s="25" t="n"/>
      <c r="M330" s="25" t="n"/>
    </row>
    <row r="331" ht="14.25" customHeight="1">
      <c r="A331" s="23" t="n"/>
      <c r="B331" s="24" t="n"/>
      <c r="C331" s="24" t="n"/>
      <c r="D331" s="24" t="n"/>
      <c r="E331" s="25" t="n"/>
      <c r="F331" s="25" t="n"/>
      <c r="G331" s="25" t="n"/>
      <c r="H331" s="25" t="n"/>
      <c r="I331" s="25" t="n"/>
      <c r="J331" s="25" t="n"/>
      <c r="K331" s="25" t="n"/>
      <c r="L331" s="25" t="n"/>
      <c r="M331" s="25" t="n"/>
    </row>
    <row r="332" ht="14.25" customHeight="1">
      <c r="A332" s="23" t="n"/>
      <c r="B332" s="24" t="n"/>
      <c r="C332" s="24" t="n"/>
      <c r="D332" s="24" t="n"/>
      <c r="E332" s="25" t="n"/>
      <c r="F332" s="25" t="n"/>
      <c r="G332" s="25" t="n"/>
      <c r="H332" s="25" t="n"/>
      <c r="I332" s="25" t="n"/>
      <c r="J332" s="25" t="n"/>
      <c r="K332" s="25" t="n"/>
      <c r="L332" s="25" t="n"/>
      <c r="M332" s="25" t="n"/>
    </row>
    <row r="333" ht="14.25" customHeight="1">
      <c r="A333" s="23" t="n"/>
      <c r="B333" s="24" t="n"/>
      <c r="C333" s="24" t="n"/>
      <c r="D333" s="24" t="n"/>
      <c r="E333" s="25" t="n"/>
      <c r="F333" s="25" t="n"/>
      <c r="G333" s="25" t="n"/>
      <c r="H333" s="25" t="n"/>
      <c r="I333" s="25" t="n"/>
      <c r="J333" s="25" t="n"/>
      <c r="K333" s="25" t="n"/>
      <c r="L333" s="25" t="n"/>
      <c r="M333" s="25" t="n"/>
    </row>
    <row r="334" ht="14.25" customHeight="1">
      <c r="A334" s="23" t="n"/>
      <c r="B334" s="24" t="n"/>
      <c r="C334" s="24" t="n"/>
      <c r="D334" s="24" t="n"/>
      <c r="E334" s="25" t="n"/>
      <c r="F334" s="25" t="n"/>
      <c r="G334" s="25" t="n"/>
      <c r="H334" s="25" t="n"/>
      <c r="I334" s="25" t="n"/>
      <c r="J334" s="25" t="n"/>
      <c r="K334" s="25" t="n"/>
      <c r="L334" s="25" t="n"/>
      <c r="M334" s="25" t="n"/>
    </row>
    <row r="335" ht="14.25" customHeight="1">
      <c r="A335" s="23" t="n"/>
      <c r="B335" s="24" t="n"/>
      <c r="C335" s="24" t="n"/>
      <c r="D335" s="24" t="n"/>
      <c r="E335" s="25" t="n"/>
      <c r="F335" s="25" t="n"/>
      <c r="G335" s="25" t="n"/>
      <c r="H335" s="25" t="n"/>
      <c r="I335" s="25" t="n"/>
      <c r="J335" s="25" t="n"/>
      <c r="K335" s="25" t="n"/>
      <c r="L335" s="25" t="n"/>
      <c r="M335" s="25" t="n"/>
    </row>
    <row r="336" ht="14.25" customHeight="1">
      <c r="A336" s="23" t="n"/>
      <c r="B336" s="24" t="n"/>
      <c r="C336" s="24" t="n"/>
      <c r="D336" s="24" t="n"/>
      <c r="E336" s="25" t="n"/>
      <c r="F336" s="25" t="n"/>
      <c r="G336" s="25" t="n"/>
      <c r="H336" s="25" t="n"/>
      <c r="I336" s="25" t="n"/>
      <c r="J336" s="25" t="n"/>
      <c r="K336" s="25" t="n"/>
      <c r="L336" s="25" t="n"/>
      <c r="M336" s="25" t="n"/>
    </row>
    <row r="337" ht="14.25" customHeight="1">
      <c r="A337" s="23" t="n"/>
      <c r="B337" s="24" t="n"/>
      <c r="C337" s="24" t="n"/>
      <c r="D337" s="24" t="n"/>
      <c r="E337" s="25" t="n"/>
      <c r="F337" s="25" t="n"/>
      <c r="G337" s="25" t="n"/>
      <c r="H337" s="25" t="n"/>
      <c r="I337" s="25" t="n"/>
      <c r="J337" s="25" t="n"/>
      <c r="K337" s="25" t="n"/>
      <c r="L337" s="25" t="n"/>
      <c r="M337" s="25" t="n"/>
    </row>
    <row r="338" ht="14.25" customHeight="1">
      <c r="A338" s="23" t="n"/>
      <c r="B338" s="24" t="n"/>
      <c r="C338" s="24" t="n"/>
      <c r="D338" s="24" t="n"/>
      <c r="E338" s="25" t="n"/>
      <c r="F338" s="25" t="n"/>
      <c r="G338" s="25" t="n"/>
      <c r="H338" s="25" t="n"/>
      <c r="I338" s="25" t="n"/>
      <c r="J338" s="25" t="n"/>
      <c r="K338" s="25" t="n"/>
      <c r="L338" s="25" t="n"/>
      <c r="M338" s="25" t="n"/>
    </row>
    <row r="339" ht="14.25" customHeight="1">
      <c r="A339" s="23" t="n"/>
      <c r="B339" s="24" t="n"/>
      <c r="C339" s="24" t="n"/>
      <c r="D339" s="24" t="n"/>
      <c r="E339" s="25" t="n"/>
      <c r="F339" s="25" t="n"/>
      <c r="G339" s="25" t="n"/>
      <c r="H339" s="25" t="n"/>
      <c r="I339" s="25" t="n"/>
      <c r="J339" s="25" t="n"/>
      <c r="K339" s="25" t="n"/>
      <c r="L339" s="25" t="n"/>
      <c r="M339" s="25" t="n"/>
    </row>
    <row r="340" ht="14.25" customHeight="1">
      <c r="A340" s="23" t="n"/>
      <c r="B340" s="24" t="n"/>
      <c r="C340" s="24" t="n"/>
      <c r="D340" s="24" t="n"/>
      <c r="E340" s="25" t="n"/>
      <c r="F340" s="25" t="n"/>
      <c r="G340" s="25" t="n"/>
      <c r="H340" s="25" t="n"/>
      <c r="I340" s="25" t="n"/>
      <c r="J340" s="25" t="n"/>
      <c r="K340" s="25" t="n"/>
      <c r="L340" s="25" t="n"/>
      <c r="M340" s="25" t="n"/>
    </row>
    <row r="341" ht="14.25" customHeight="1">
      <c r="A341" s="23" t="n"/>
      <c r="B341" s="24" t="n"/>
      <c r="C341" s="24" t="n"/>
      <c r="D341" s="24" t="n"/>
      <c r="E341" s="25" t="n"/>
      <c r="F341" s="25" t="n"/>
      <c r="G341" s="25" t="n"/>
      <c r="H341" s="25" t="n"/>
      <c r="I341" s="25" t="n"/>
      <c r="J341" s="25" t="n"/>
      <c r="K341" s="25" t="n"/>
      <c r="L341" s="25" t="n"/>
      <c r="M341" s="25" t="n"/>
    </row>
    <row r="342" ht="14.25" customHeight="1">
      <c r="A342" s="23" t="n"/>
      <c r="B342" s="24" t="n"/>
      <c r="C342" s="24" t="n"/>
      <c r="D342" s="24" t="n"/>
      <c r="E342" s="25" t="n"/>
      <c r="F342" s="25" t="n"/>
      <c r="G342" s="25" t="n"/>
      <c r="H342" s="25" t="n"/>
      <c r="I342" s="25" t="n"/>
      <c r="J342" s="25" t="n"/>
      <c r="K342" s="25" t="n"/>
      <c r="L342" s="25" t="n"/>
      <c r="M342" s="25" t="n"/>
    </row>
    <row r="343" ht="14.25" customHeight="1">
      <c r="A343" s="23" t="n"/>
      <c r="B343" s="24" t="n"/>
      <c r="C343" s="24" t="n"/>
      <c r="D343" s="24" t="n"/>
      <c r="E343" s="25" t="n"/>
      <c r="F343" s="25" t="n"/>
      <c r="G343" s="25" t="n"/>
      <c r="H343" s="25" t="n"/>
      <c r="I343" s="25" t="n"/>
      <c r="J343" s="25" t="n"/>
      <c r="K343" s="25" t="n"/>
      <c r="L343" s="25" t="n"/>
      <c r="M343" s="25" t="n"/>
    </row>
    <row r="344" ht="14.25" customHeight="1">
      <c r="A344" s="23" t="n"/>
      <c r="B344" s="24" t="n"/>
      <c r="C344" s="24" t="n"/>
      <c r="D344" s="24" t="n"/>
      <c r="E344" s="25" t="n"/>
      <c r="F344" s="25" t="n"/>
      <c r="G344" s="25" t="n"/>
      <c r="H344" s="25" t="n"/>
      <c r="I344" s="25" t="n"/>
      <c r="J344" s="25" t="n"/>
      <c r="K344" s="25" t="n"/>
      <c r="L344" s="25" t="n"/>
      <c r="M344" s="25" t="n"/>
    </row>
    <row r="345" ht="14.25" customHeight="1">
      <c r="A345" s="23" t="n"/>
      <c r="B345" s="24" t="n"/>
      <c r="C345" s="24" t="n"/>
      <c r="D345" s="24" t="n"/>
      <c r="E345" s="25" t="n"/>
      <c r="F345" s="25" t="n"/>
      <c r="G345" s="25" t="n"/>
      <c r="H345" s="25" t="n"/>
      <c r="I345" s="25" t="n"/>
      <c r="J345" s="25" t="n"/>
      <c r="K345" s="25" t="n"/>
      <c r="L345" s="25" t="n"/>
      <c r="M345" s="25" t="n"/>
    </row>
    <row r="346" ht="14.25" customHeight="1">
      <c r="A346" s="23" t="n"/>
      <c r="B346" s="24" t="n"/>
      <c r="C346" s="24" t="n"/>
      <c r="D346" s="24" t="n"/>
      <c r="E346" s="25" t="n"/>
      <c r="F346" s="25" t="n"/>
      <c r="G346" s="25" t="n"/>
      <c r="H346" s="25" t="n"/>
      <c r="I346" s="25" t="n"/>
      <c r="J346" s="25" t="n"/>
      <c r="K346" s="25" t="n"/>
      <c r="L346" s="25" t="n"/>
      <c r="M346" s="25" t="n"/>
    </row>
    <row r="347" ht="14.25" customHeight="1">
      <c r="A347" s="23" t="n"/>
      <c r="B347" s="24" t="n"/>
      <c r="C347" s="24" t="n"/>
      <c r="D347" s="24" t="n"/>
      <c r="E347" s="25" t="n"/>
      <c r="F347" s="25" t="n"/>
      <c r="G347" s="25" t="n"/>
      <c r="H347" s="25" t="n"/>
      <c r="I347" s="25" t="n"/>
      <c r="J347" s="25" t="n"/>
      <c r="K347" s="25" t="n"/>
      <c r="L347" s="25" t="n"/>
      <c r="M347" s="25" t="n"/>
    </row>
    <row r="348" ht="14.25" customHeight="1">
      <c r="A348" s="23" t="n"/>
      <c r="B348" s="24" t="n"/>
      <c r="C348" s="24" t="n"/>
      <c r="D348" s="24" t="n"/>
      <c r="E348" s="25" t="n"/>
      <c r="F348" s="25" t="n"/>
      <c r="G348" s="25" t="n"/>
      <c r="H348" s="25" t="n"/>
      <c r="I348" s="25" t="n"/>
      <c r="J348" s="25" t="n"/>
      <c r="K348" s="25" t="n"/>
      <c r="L348" s="25" t="n"/>
      <c r="M348" s="25" t="n"/>
    </row>
    <row r="349" ht="14.25" customHeight="1">
      <c r="A349" s="23" t="n"/>
      <c r="B349" s="24" t="n"/>
      <c r="C349" s="24" t="n"/>
      <c r="D349" s="24" t="n"/>
      <c r="E349" s="25" t="n"/>
      <c r="F349" s="25" t="n"/>
      <c r="G349" s="25" t="n"/>
      <c r="H349" s="25" t="n"/>
      <c r="I349" s="25" t="n"/>
      <c r="J349" s="25" t="n"/>
      <c r="K349" s="25" t="n"/>
      <c r="L349" s="25" t="n"/>
      <c r="M349" s="25" t="n"/>
    </row>
    <row r="350" ht="14.25" customHeight="1">
      <c r="A350" s="23" t="n"/>
      <c r="B350" s="24" t="n"/>
      <c r="C350" s="24" t="n"/>
      <c r="D350" s="24" t="n"/>
      <c r="E350" s="25" t="n"/>
      <c r="F350" s="25" t="n"/>
      <c r="G350" s="25" t="n"/>
      <c r="H350" s="25" t="n"/>
      <c r="I350" s="25" t="n"/>
      <c r="J350" s="25" t="n"/>
      <c r="K350" s="25" t="n"/>
      <c r="L350" s="25" t="n"/>
      <c r="M350" s="25" t="n"/>
    </row>
    <row r="351" ht="14.25" customHeight="1">
      <c r="A351" s="23" t="n"/>
      <c r="B351" s="24" t="n"/>
      <c r="C351" s="24" t="n"/>
      <c r="D351" s="24" t="n"/>
      <c r="E351" s="25" t="n"/>
      <c r="F351" s="25" t="n"/>
      <c r="G351" s="25" t="n"/>
      <c r="H351" s="25" t="n"/>
      <c r="I351" s="25" t="n"/>
      <c r="J351" s="25" t="n"/>
      <c r="K351" s="25" t="n"/>
      <c r="L351" s="25" t="n"/>
      <c r="M351" s="25" t="n"/>
    </row>
    <row r="352" ht="14.25" customHeight="1">
      <c r="A352" s="23" t="n"/>
      <c r="B352" s="24" t="n"/>
      <c r="C352" s="24" t="n"/>
      <c r="D352" s="24" t="n"/>
      <c r="E352" s="25" t="n"/>
      <c r="F352" s="25" t="n"/>
      <c r="G352" s="25" t="n"/>
      <c r="H352" s="25" t="n"/>
      <c r="I352" s="25" t="n"/>
      <c r="J352" s="25" t="n"/>
      <c r="K352" s="25" t="n"/>
      <c r="L352" s="25" t="n"/>
      <c r="M352" s="25" t="n"/>
    </row>
    <row r="353" ht="14.25" customHeight="1">
      <c r="A353" s="23" t="n"/>
      <c r="B353" s="24" t="n"/>
      <c r="C353" s="24" t="n"/>
      <c r="D353" s="24" t="n"/>
      <c r="E353" s="25" t="n"/>
      <c r="F353" s="25" t="n"/>
      <c r="G353" s="25" t="n"/>
      <c r="H353" s="25" t="n"/>
      <c r="I353" s="25" t="n"/>
      <c r="J353" s="25" t="n"/>
      <c r="K353" s="25" t="n"/>
      <c r="L353" s="25" t="n"/>
      <c r="M353" s="25" t="n"/>
    </row>
    <row r="354" ht="14.25" customHeight="1">
      <c r="A354" s="23" t="n"/>
      <c r="B354" s="24" t="n"/>
      <c r="C354" s="24" t="n"/>
      <c r="D354" s="24" t="n"/>
      <c r="E354" s="25" t="n"/>
      <c r="F354" s="25" t="n"/>
      <c r="G354" s="25" t="n"/>
      <c r="H354" s="25" t="n"/>
      <c r="I354" s="25" t="n"/>
      <c r="J354" s="25" t="n"/>
      <c r="K354" s="25" t="n"/>
      <c r="L354" s="25" t="n"/>
      <c r="M354" s="25" t="n"/>
    </row>
    <row r="355" ht="14.25" customHeight="1">
      <c r="A355" s="23" t="n"/>
      <c r="B355" s="24" t="n"/>
      <c r="C355" s="24" t="n"/>
      <c r="D355" s="24" t="n"/>
      <c r="E355" s="25" t="n"/>
      <c r="F355" s="25" t="n"/>
      <c r="G355" s="25" t="n"/>
      <c r="H355" s="25" t="n"/>
      <c r="I355" s="25" t="n"/>
      <c r="J355" s="25" t="n"/>
      <c r="K355" s="25" t="n"/>
      <c r="L355" s="25" t="n"/>
      <c r="M355" s="25" t="n"/>
    </row>
    <row r="356" ht="14.25" customHeight="1">
      <c r="A356" s="23" t="n"/>
      <c r="B356" s="24" t="n"/>
      <c r="C356" s="24" t="n"/>
      <c r="D356" s="24" t="n"/>
      <c r="E356" s="25" t="n"/>
      <c r="F356" s="25" t="n"/>
      <c r="G356" s="25" t="n"/>
      <c r="H356" s="25" t="n"/>
      <c r="I356" s="25" t="n"/>
      <c r="J356" s="25" t="n"/>
      <c r="K356" s="25" t="n"/>
      <c r="L356" s="25" t="n"/>
      <c r="M356" s="25" t="n"/>
    </row>
    <row r="357" ht="14.25" customHeight="1">
      <c r="A357" s="23" t="n"/>
      <c r="B357" s="24" t="n"/>
      <c r="C357" s="24" t="n"/>
      <c r="D357" s="24" t="n"/>
      <c r="E357" s="25" t="n"/>
      <c r="F357" s="25" t="n"/>
      <c r="G357" s="25" t="n"/>
      <c r="H357" s="25" t="n"/>
      <c r="I357" s="25" t="n"/>
      <c r="J357" s="25" t="n"/>
      <c r="K357" s="25" t="n"/>
      <c r="L357" s="25" t="n"/>
      <c r="M357" s="25" t="n"/>
    </row>
    <row r="358" ht="14.25" customHeight="1">
      <c r="A358" s="23" t="n"/>
      <c r="B358" s="24" t="n"/>
      <c r="C358" s="24" t="n"/>
      <c r="D358" s="24" t="n"/>
      <c r="E358" s="25" t="n"/>
      <c r="F358" s="25" t="n"/>
      <c r="G358" s="25" t="n"/>
      <c r="H358" s="25" t="n"/>
      <c r="I358" s="25" t="n"/>
      <c r="J358" s="25" t="n"/>
      <c r="K358" s="25" t="n"/>
      <c r="L358" s="25" t="n"/>
      <c r="M358" s="25" t="n"/>
    </row>
    <row r="359" ht="14.25" customHeight="1">
      <c r="A359" s="23" t="n"/>
      <c r="B359" s="24" t="n"/>
      <c r="C359" s="24" t="n"/>
      <c r="D359" s="24" t="n"/>
      <c r="E359" s="25" t="n"/>
      <c r="F359" s="25" t="n"/>
      <c r="G359" s="25" t="n"/>
      <c r="H359" s="25" t="n"/>
      <c r="I359" s="25" t="n"/>
      <c r="J359" s="25" t="n"/>
      <c r="K359" s="25" t="n"/>
      <c r="L359" s="25" t="n"/>
      <c r="M359" s="25" t="n"/>
    </row>
    <row r="360" ht="14.25" customHeight="1">
      <c r="A360" s="23" t="n"/>
      <c r="B360" s="24" t="n"/>
      <c r="C360" s="24" t="n"/>
      <c r="D360" s="24" t="n"/>
      <c r="E360" s="25" t="n"/>
      <c r="F360" s="25" t="n"/>
      <c r="G360" s="25" t="n"/>
      <c r="H360" s="25" t="n"/>
      <c r="I360" s="25" t="n"/>
      <c r="J360" s="25" t="n"/>
      <c r="K360" s="25" t="n"/>
      <c r="L360" s="25" t="n"/>
      <c r="M360" s="25" t="n"/>
    </row>
    <row r="361" ht="14.25" customHeight="1">
      <c r="A361" s="23" t="n"/>
      <c r="B361" s="24" t="n"/>
      <c r="C361" s="24" t="n"/>
      <c r="D361" s="24" t="n"/>
      <c r="E361" s="25" t="n"/>
      <c r="F361" s="25" t="n"/>
      <c r="G361" s="25" t="n"/>
      <c r="H361" s="25" t="n"/>
      <c r="I361" s="25" t="n"/>
      <c r="J361" s="25" t="n"/>
      <c r="K361" s="25" t="n"/>
      <c r="L361" s="25" t="n"/>
      <c r="M361" s="25" t="n"/>
    </row>
    <row r="362" ht="14.25" customHeight="1">
      <c r="A362" s="23" t="n"/>
      <c r="B362" s="24" t="n"/>
      <c r="C362" s="24" t="n"/>
      <c r="D362" s="24" t="n"/>
      <c r="E362" s="25" t="n"/>
      <c r="F362" s="25" t="n"/>
      <c r="G362" s="25" t="n"/>
      <c r="H362" s="25" t="n"/>
      <c r="I362" s="25" t="n"/>
      <c r="J362" s="25" t="n"/>
      <c r="K362" s="25" t="n"/>
      <c r="L362" s="25" t="n"/>
      <c r="M362" s="25" t="n"/>
    </row>
    <row r="363" ht="14.25" customHeight="1">
      <c r="A363" s="23" t="n"/>
      <c r="B363" s="24" t="n"/>
      <c r="C363" s="24" t="n"/>
      <c r="D363" s="24" t="n"/>
      <c r="E363" s="25" t="n"/>
      <c r="F363" s="25" t="n"/>
      <c r="G363" s="25" t="n"/>
      <c r="H363" s="25" t="n"/>
      <c r="I363" s="25" t="n"/>
      <c r="J363" s="25" t="n"/>
      <c r="K363" s="25" t="n"/>
      <c r="L363" s="25" t="n"/>
      <c r="M363" s="25" t="n"/>
    </row>
    <row r="364" ht="14.25" customHeight="1">
      <c r="A364" s="23" t="n"/>
      <c r="B364" s="24" t="n"/>
      <c r="C364" s="24" t="n"/>
      <c r="D364" s="24" t="n"/>
      <c r="E364" s="25" t="n"/>
      <c r="F364" s="25" t="n"/>
      <c r="G364" s="25" t="n"/>
      <c r="H364" s="25" t="n"/>
      <c r="I364" s="25" t="n"/>
      <c r="J364" s="25" t="n"/>
      <c r="K364" s="25" t="n"/>
      <c r="L364" s="25" t="n"/>
      <c r="M364" s="25" t="n"/>
    </row>
    <row r="365" ht="14.25" customHeight="1">
      <c r="A365" s="23" t="n"/>
      <c r="B365" s="24" t="n"/>
      <c r="C365" s="24" t="n"/>
      <c r="D365" s="24" t="n"/>
      <c r="E365" s="25" t="n"/>
      <c r="F365" s="25" t="n"/>
      <c r="G365" s="25" t="n"/>
      <c r="H365" s="25" t="n"/>
      <c r="I365" s="25" t="n"/>
      <c r="J365" s="25" t="n"/>
      <c r="K365" s="25" t="n"/>
      <c r="L365" s="25" t="n"/>
      <c r="M365" s="25" t="n"/>
    </row>
    <row r="366" ht="14.25" customHeight="1">
      <c r="A366" s="23" t="n"/>
      <c r="B366" s="24" t="n"/>
      <c r="C366" s="24" t="n"/>
      <c r="D366" s="24" t="n"/>
      <c r="E366" s="25" t="n"/>
      <c r="F366" s="25" t="n"/>
      <c r="G366" s="25" t="n"/>
      <c r="H366" s="25" t="n"/>
      <c r="I366" s="25" t="n"/>
      <c r="J366" s="25" t="n"/>
      <c r="K366" s="25" t="n"/>
      <c r="L366" s="25" t="n"/>
      <c r="M366" s="25" t="n"/>
    </row>
    <row r="367" ht="14.25" customHeight="1">
      <c r="A367" s="23" t="n"/>
      <c r="B367" s="24" t="n"/>
      <c r="C367" s="24" t="n"/>
      <c r="D367" s="24" t="n"/>
      <c r="E367" s="25" t="n"/>
      <c r="F367" s="25" t="n"/>
      <c r="G367" s="25" t="n"/>
      <c r="H367" s="25" t="n"/>
      <c r="I367" s="25" t="n"/>
      <c r="J367" s="25" t="n"/>
      <c r="K367" s="25" t="n"/>
      <c r="L367" s="25" t="n"/>
      <c r="M367" s="25" t="n"/>
    </row>
    <row r="368" ht="14.25" customHeight="1">
      <c r="A368" s="23" t="n"/>
      <c r="B368" s="24" t="n"/>
      <c r="C368" s="24" t="n"/>
      <c r="D368" s="24" t="n"/>
      <c r="E368" s="25" t="n"/>
      <c r="F368" s="25" t="n"/>
      <c r="G368" s="25" t="n"/>
      <c r="H368" s="25" t="n"/>
      <c r="I368" s="25" t="n"/>
      <c r="J368" s="25" t="n"/>
      <c r="K368" s="25" t="n"/>
      <c r="L368" s="25" t="n"/>
      <c r="M368" s="25" t="n"/>
    </row>
  </sheetData>
  <autoFilter ref="A1:N168">
    <filterColumn colId="8" hiddenButton="0" showButton="1">
      <filters>
        <filter val="Rahul, Sabrina"/>
        <filter val="Sabrina"/>
      </filters>
    </filterColumn>
  </autoFilter>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filterMode="1">
    <outlinePr summaryBelow="1" summaryRight="1"/>
    <pageSetUpPr/>
  </sheetPr>
  <dimension ref="A1:G49"/>
  <sheetViews>
    <sheetView zoomScaleNormal="100" workbookViewId="0">
      <pane ySplit="3" topLeftCell="A13" activePane="bottomLeft" state="frozen"/>
      <selection pane="bottomLeft" activeCell="E47" sqref="E47"/>
    </sheetView>
  </sheetViews>
  <sheetFormatPr baseColWidth="8" defaultColWidth="8.5703125" defaultRowHeight="15"/>
  <cols>
    <col width="12.42578125" customWidth="1" style="4" min="1" max="1"/>
    <col width="12.5703125" customWidth="1" style="26" min="2" max="2"/>
    <col width="15.42578125" customWidth="1" style="4" min="3" max="4"/>
    <col width="60.5703125" customWidth="1" style="4" min="5" max="5"/>
    <col width="51.140625" customWidth="1" style="4" min="6" max="6"/>
    <col width="48.42578125" customWidth="1" style="4" min="7" max="7"/>
    <col width="8.5703125" customWidth="1" style="4" min="8" max="16384"/>
  </cols>
  <sheetData>
    <row r="1" ht="18" customHeight="1">
      <c r="A1" s="220" t="inlineStr">
        <is>
          <t>ESSA EAPA — Daily Scrum Log</t>
        </is>
      </c>
    </row>
    <row r="2" ht="14.25" customHeight="1">
      <c r="A2" s="221" t="inlineStr">
        <is>
          <t>Update daily. Date | Employee | Module | Done Yesterday | Today's Plan | Any Blocker?</t>
        </is>
      </c>
    </row>
    <row r="3" ht="14.25" customHeight="1">
      <c r="A3" s="27" t="inlineStr">
        <is>
          <t>Date</t>
        </is>
      </c>
      <c r="B3" s="27" t="inlineStr">
        <is>
          <t>Employee</t>
        </is>
      </c>
      <c r="C3" s="27" t="inlineStr">
        <is>
          <t>Module</t>
        </is>
      </c>
      <c r="D3" s="27" t="inlineStr">
        <is>
          <t>Task ID</t>
        </is>
      </c>
      <c r="E3" s="27" t="inlineStr">
        <is>
          <t>Done Yesterday</t>
        </is>
      </c>
      <c r="F3" s="27" t="inlineStr">
        <is>
          <t>Today's Plan</t>
        </is>
      </c>
      <c r="G3" s="27" t="inlineStr">
        <is>
          <t>Any Blocker?</t>
        </is>
      </c>
    </row>
    <row r="4" hidden="1">
      <c r="A4" s="28" t="inlineStr">
        <is>
          <t>02-Sep-26</t>
        </is>
      </c>
      <c r="B4" s="29" t="inlineStr">
        <is>
          <t>Rahul</t>
        </is>
      </c>
      <c r="C4" s="30" t="inlineStr">
        <is>
          <t>Auth / RBAC</t>
        </is>
      </c>
      <c r="D4" s="30" t="n"/>
      <c r="E4" s="31" t="inlineStr">
        <is>
          <t>Completed Entra ID SSO POC and RBAC role mapping.</t>
        </is>
      </c>
      <c r="F4" s="31" t="inlineStr">
        <is>
          <t>Start Admin Config Management — Invoice Category Config.</t>
        </is>
      </c>
      <c r="G4" s="31" t="inlineStr">
        <is>
          <t>None</t>
        </is>
      </c>
    </row>
    <row r="5">
      <c r="A5" s="28" t="inlineStr">
        <is>
          <t>02-Sep-26</t>
        </is>
      </c>
      <c r="B5" s="29" t="inlineStr">
        <is>
          <t>Sabrina</t>
        </is>
      </c>
      <c r="C5" s="32" t="inlineStr">
        <is>
          <t>Invoice Ingestion</t>
        </is>
      </c>
      <c r="D5" s="32" t="n"/>
      <c r="E5" s="33" t="inlineStr">
        <is>
          <t>Completed email ingestion and SharePoint folder monitoring.</t>
        </is>
      </c>
      <c r="F5" s="33" t="inlineStr">
        <is>
          <t>Continue attachment controls and duplicate detection.</t>
        </is>
      </c>
      <c r="G5" s="34" t="inlineStr">
        <is>
          <t>Document type validation not yet implemented.</t>
        </is>
      </c>
    </row>
    <row r="6" hidden="1">
      <c r="A6" s="28" t="inlineStr">
        <is>
          <t>02-Sep-26</t>
        </is>
      </c>
      <c r="B6" s="29" t="inlineStr">
        <is>
          <t>Khalid</t>
        </is>
      </c>
      <c r="C6" s="30" t="inlineStr">
        <is>
          <t>Dashboard</t>
        </is>
      </c>
      <c r="D6" s="30" t="n"/>
      <c r="E6" s="31" t="inlineStr">
        <is>
          <t>Completed invoice list filtering.</t>
        </is>
      </c>
      <c r="F6" s="31" t="inlineStr">
        <is>
          <t>Work on invoice timeline sequence flow and search bar.</t>
        </is>
      </c>
      <c r="G6" s="31" t="inlineStr">
        <is>
          <t>None</t>
        </is>
      </c>
    </row>
    <row r="7" hidden="1" ht="24" customHeight="1">
      <c r="A7" s="28" t="inlineStr">
        <is>
          <t>02-Sep-26</t>
        </is>
      </c>
      <c r="B7" s="29" t="inlineStr">
        <is>
          <t>Natheera</t>
        </is>
      </c>
      <c r="C7" s="32" t="inlineStr">
        <is>
          <t>RPA / SAP</t>
        </is>
      </c>
      <c r="D7" s="32" t="n"/>
      <c r="E7" s="33" t="inlineStr">
        <is>
          <t>Reviewed MIRO and FB60 transaction flows.</t>
        </is>
      </c>
      <c r="F7" s="33" t="inlineStr">
        <is>
          <t>Set up Power Automate Desktop bot environment.</t>
        </is>
      </c>
      <c r="G7" s="34" t="inlineStr">
        <is>
          <t>SAP GUI scripting not yet enabled — waiting for ESSA SAP team.</t>
        </is>
      </c>
    </row>
    <row r="8" ht="60" customHeight="1">
      <c r="A8" s="35" t="n">
        <v>46274</v>
      </c>
      <c r="B8" s="29" t="inlineStr">
        <is>
          <t>Sabrina</t>
        </is>
      </c>
      <c r="C8" s="36" t="inlineStr">
        <is>
          <t>ESSA</t>
        </is>
      </c>
      <c r="D8" s="36" t="n"/>
      <c r="E8" s="37" t="inlineStr">
        <is>
          <t xml:space="preserve"> - continue work on validation configuration integration in main flow of invoice validation
 - Prepared test data of SAP data to validate with dynamic rules</t>
        </is>
      </c>
      <c r="F8" s="37" t="inlineStr">
        <is>
          <t xml:space="preserve"> - Take one invoice type, Man Power, work on end to end validation completion. (SAP Field and document availability validation). Take reference from POC and test if everything working fine, as now its dynamic fields and dynamic document availability rules.</t>
        </is>
      </c>
      <c r="G8" s="37" t="inlineStr">
        <is>
          <t>NA</t>
        </is>
      </c>
    </row>
    <row r="9" hidden="1">
      <c r="A9" s="35" t="n">
        <v>46274</v>
      </c>
      <c r="B9" s="29" t="inlineStr">
        <is>
          <t>Suganth</t>
        </is>
      </c>
      <c r="C9" s="38" t="inlineStr">
        <is>
          <t>ESSA</t>
        </is>
      </c>
      <c r="D9" s="38" t="n"/>
      <c r="E9" s="39" t="inlineStr">
        <is>
          <t xml:space="preserve"> - Worked on UI for Inbound email visibility.</t>
        </is>
      </c>
      <c r="F9" s="39" t="inlineStr">
        <is>
          <t xml:space="preserve"> - TBD</t>
        </is>
      </c>
      <c r="G9" s="39" t="inlineStr">
        <is>
          <t xml:space="preserve"> - Request for review of Test CAses</t>
        </is>
      </c>
    </row>
    <row r="10" hidden="1" ht="36" customHeight="1">
      <c r="A10" s="35" t="n">
        <v>46274</v>
      </c>
      <c r="B10" s="29" t="inlineStr">
        <is>
          <t>Rahul</t>
        </is>
      </c>
      <c r="C10" s="36" t="inlineStr">
        <is>
          <t>ESSA</t>
        </is>
      </c>
      <c r="D10" s="36" t="n"/>
      <c r="E10" s="37" t="inlineStr">
        <is>
          <t xml:space="preserve"> - SLA admin Config is done
 - SLA scheduler integration to execute admin config in main invoice flow, started working on that</t>
        </is>
      </c>
      <c r="F10" s="37" t="inlineStr">
        <is>
          <t xml:space="preserve"> - SLA scheduler integration to execute admin config in main invoice flow</t>
        </is>
      </c>
      <c r="G10" s="37" t="inlineStr">
        <is>
          <t>NA</t>
        </is>
      </c>
    </row>
    <row r="11" hidden="1">
      <c r="A11" s="35" t="n">
        <v>46274</v>
      </c>
      <c r="B11" s="29" t="inlineStr">
        <is>
          <t>Khalid</t>
        </is>
      </c>
      <c r="C11" s="36" t="inlineStr">
        <is>
          <t>ESSA</t>
        </is>
      </c>
      <c r="D11" s="36" t="n"/>
      <c r="E11" s="39" t="inlineStr">
        <is>
          <t xml:space="preserve"> - Busy in working with Shafeeq on other tasks</t>
        </is>
      </c>
      <c r="F11" s="39" t="inlineStr">
        <is>
          <t xml:space="preserve"> - work on unit test case</t>
        </is>
      </c>
      <c r="G11" s="39" t="n"/>
    </row>
    <row r="12" hidden="1" ht="48" customHeight="1">
      <c r="A12" s="40" t="n">
        <v>46275</v>
      </c>
      <c r="B12" s="29" t="inlineStr">
        <is>
          <t>Rahul</t>
        </is>
      </c>
      <c r="C12" s="36" t="inlineStr">
        <is>
          <t>ESSA</t>
        </is>
      </c>
      <c r="D12" s="37" t="n"/>
      <c r="E12" s="37" t="inlineStr">
        <is>
          <t>- Deployed the BE and FE Essa related changes on new RIL server.
- Changed the theme and color as per Avensys
- Restored the DB
- Tested everything</t>
        </is>
      </c>
      <c r="F12" s="37" t="inlineStr">
        <is>
          <t>- will work on the SLA related remaining tasks</t>
        </is>
      </c>
      <c r="G12" s="39" t="inlineStr">
        <is>
          <t>NA</t>
        </is>
      </c>
    </row>
    <row r="13" ht="72" customHeight="1">
      <c r="A13" s="40" t="n">
        <v>46275</v>
      </c>
      <c r="B13" s="29" t="inlineStr">
        <is>
          <t>Sabrina</t>
        </is>
      </c>
      <c r="C13" s="36" t="inlineStr">
        <is>
          <t>ESSA</t>
        </is>
      </c>
      <c r="D13" s="39" t="n"/>
      <c r="E13" s="39" t="inlineStr">
        <is>
          <t>- Continued working on document availability and sap field mapping validation. 
- Worked on integrating the validation logic for document validation through sending of email notifications to the vendor and sorting invoices into draft states if documents are unavailable. Testing and fixing any issues found while testing.</t>
        </is>
      </c>
      <c r="F13" s="39" t="inlineStr">
        <is>
          <t>- Continued on working on testing and fixing of document availability and SAP field mapping validation. 
- Testing with new additional fields in the SAP field if validations are being checked correctly.</t>
        </is>
      </c>
      <c r="G13" s="39" t="inlineStr">
        <is>
          <t>NA</t>
        </is>
      </c>
    </row>
    <row r="14" hidden="1">
      <c r="A14" s="40" t="n">
        <v>46275</v>
      </c>
      <c r="B14" s="29" t="inlineStr">
        <is>
          <t>Suganth</t>
        </is>
      </c>
      <c r="C14" s="36" t="inlineStr">
        <is>
          <t>ESSA</t>
        </is>
      </c>
      <c r="D14" s="37" t="n"/>
      <c r="E14" s="37" t="n"/>
      <c r="F14" s="37" t="n"/>
      <c r="G14" s="37" t="n"/>
    </row>
    <row r="15" hidden="1" ht="36" customHeight="1">
      <c r="A15" s="40" t="n">
        <v>46275</v>
      </c>
      <c r="B15" s="29" t="inlineStr">
        <is>
          <t>Khalid</t>
        </is>
      </c>
      <c r="C15" s="36" t="inlineStr">
        <is>
          <t>ESSA</t>
        </is>
      </c>
      <c r="D15" s="39" t="n"/>
      <c r="E15" s="39" t="inlineStr">
        <is>
          <t xml:space="preserve">-completed integrating Audit logs page fron suganths, Edited the pusrchase oprder and teh vendors page sizing and the tile according to the Suganths work </t>
        </is>
      </c>
      <c r="F15" s="39" t="inlineStr">
        <is>
          <t>continue to work on any other UI discrepency found in smaller screen</t>
        </is>
      </c>
      <c r="G15" s="39" t="n"/>
    </row>
    <row r="16" hidden="1">
      <c r="A16" s="40" t="n">
        <v>46275</v>
      </c>
      <c r="B16" s="29" t="inlineStr">
        <is>
          <t>Natheera</t>
        </is>
      </c>
      <c r="C16" s="36" t="inlineStr">
        <is>
          <t>ESSA</t>
        </is>
      </c>
      <c r="D16" s="37" t="n"/>
      <c r="E16" s="37" t="n"/>
      <c r="F16" s="37" t="n"/>
      <c r="G16" s="37" t="n"/>
    </row>
    <row r="17" ht="36" customHeight="1">
      <c r="A17" s="40" t="n">
        <v>46276</v>
      </c>
      <c r="B17" s="29" t="inlineStr">
        <is>
          <t>Sabrina</t>
        </is>
      </c>
      <c r="C17" s="36" t="inlineStr">
        <is>
          <t>ESSA</t>
        </is>
      </c>
      <c r="D17" s="39" t="n">
        <v>41</v>
      </c>
      <c r="E17" s="39" t="inlineStr">
        <is>
          <t>- Completed validation integration for SAP Field mapping validation and document availability validation
- Started work on the Audit Log for invoice processing</t>
        </is>
      </c>
      <c r="F17" s="39" t="inlineStr">
        <is>
          <t>- Continue working on the Audit Log for invoice processing</t>
        </is>
      </c>
      <c r="G17" s="39" t="inlineStr">
        <is>
          <t>NA</t>
        </is>
      </c>
    </row>
    <row r="18" hidden="1">
      <c r="A18" s="40" t="n">
        <v>46276</v>
      </c>
      <c r="B18" s="29" t="inlineStr">
        <is>
          <t>Suganth</t>
        </is>
      </c>
      <c r="C18" s="36" t="inlineStr">
        <is>
          <t>ESSA</t>
        </is>
      </c>
      <c r="D18" s="37" t="n"/>
      <c r="E18" s="37" t="n"/>
      <c r="F18" s="37" t="n"/>
      <c r="G18" s="37" t="n"/>
    </row>
    <row r="19" hidden="1" ht="48" customHeight="1">
      <c r="A19" s="40" t="n">
        <v>46276</v>
      </c>
      <c r="B19" s="29" t="inlineStr">
        <is>
          <t>Rahul</t>
        </is>
      </c>
      <c r="C19" s="36" t="inlineStr">
        <is>
          <t>ESSA</t>
        </is>
      </c>
      <c r="D19" s="39" t="n">
        <v>23</v>
      </c>
      <c r="E19" s="39" t="inlineStr">
        <is>
          <t>- Created a scheduler to read SLA config and conrrespondingly send the notifications for the invoices
- Right now, doing the testing of all the events of invoices and try to link them with SLA</t>
        </is>
      </c>
      <c r="F19" s="39" t="inlineStr">
        <is>
          <t>- will complete SLA related testing.
- will Start work on the new task</t>
        </is>
      </c>
      <c r="G19" s="39" t="n"/>
    </row>
    <row r="20" hidden="1">
      <c r="A20" s="40" t="n">
        <v>46276</v>
      </c>
      <c r="B20" s="29" t="inlineStr">
        <is>
          <t>Khalid</t>
        </is>
      </c>
      <c r="C20" s="36" t="inlineStr">
        <is>
          <t>ESSA</t>
        </is>
      </c>
      <c r="D20" s="37" t="n"/>
      <c r="E20" s="37" t="n"/>
      <c r="F20" s="37" t="n"/>
      <c r="G20" s="37" t="n"/>
    </row>
    <row r="21" ht="24" customHeight="1">
      <c r="A21" s="41" t="n">
        <v>46279</v>
      </c>
      <c r="B21" s="42" t="inlineStr">
        <is>
          <t>Sabrina</t>
        </is>
      </c>
      <c r="C21" s="43" t="inlineStr">
        <is>
          <t>ESSA</t>
        </is>
      </c>
      <c r="D21" s="39" t="n">
        <v>45</v>
      </c>
      <c r="E21" s="39" t="inlineStr">
        <is>
          <t>- Worked on Audit Logs for both login and invoice logging.</t>
        </is>
      </c>
      <c r="F21" s="44" t="inlineStr">
        <is>
          <t>- Continue working on Audit Logs for both login and invoice logging, to complete today.</t>
        </is>
      </c>
      <c r="G21" s="39" t="inlineStr">
        <is>
          <t>Tokens are unavailable.</t>
        </is>
      </c>
    </row>
    <row r="22" hidden="1">
      <c r="A22" s="41" t="n">
        <v>46279</v>
      </c>
      <c r="B22" s="42" t="inlineStr">
        <is>
          <t>Suganth</t>
        </is>
      </c>
      <c r="C22" s="43" t="inlineStr">
        <is>
          <t>ESSA</t>
        </is>
      </c>
      <c r="D22" s="37" t="n"/>
      <c r="E22" s="37" t="n"/>
      <c r="F22" s="37" t="n"/>
      <c r="G22" s="37" t="n"/>
    </row>
    <row r="23" hidden="1" ht="24" customHeight="1">
      <c r="A23" s="41" t="n">
        <v>46279</v>
      </c>
      <c r="B23" s="42" t="inlineStr">
        <is>
          <t>Rahul</t>
        </is>
      </c>
      <c r="C23" s="43" t="inlineStr">
        <is>
          <t>ESSA</t>
        </is>
      </c>
      <c r="D23" s="39" t="n">
        <v>26</v>
      </c>
      <c r="E23" s="39" t="inlineStr">
        <is>
          <t>- Completed 21,22,23 SLA related tasks.
- Working on the team approval mechanism</t>
        </is>
      </c>
      <c r="F23" s="39" t="inlineStr">
        <is>
          <t>- Will continue to work on Teams approval mechanism</t>
        </is>
      </c>
      <c r="G23" s="39" t="n"/>
    </row>
    <row r="24" hidden="1">
      <c r="A24" s="41" t="n">
        <v>46279</v>
      </c>
      <c r="B24" s="42" t="inlineStr">
        <is>
          <t>Khalid</t>
        </is>
      </c>
      <c r="C24" s="43" t="inlineStr">
        <is>
          <t>ESSA</t>
        </is>
      </c>
      <c r="D24" s="37" t="n"/>
      <c r="E24" s="37" t="n"/>
      <c r="F24" s="37" t="n"/>
      <c r="G24" s="37" t="n"/>
    </row>
    <row r="25" ht="36" customHeight="1">
      <c r="A25" s="41" t="n">
        <v>46280</v>
      </c>
      <c r="B25" s="42" t="inlineStr">
        <is>
          <t>Sabrina</t>
        </is>
      </c>
      <c r="C25" s="43" t="inlineStr">
        <is>
          <t>ESSA</t>
        </is>
      </c>
      <c r="D25" s="39" t="n">
        <v>45</v>
      </c>
      <c r="E25" s="39" t="inlineStr">
        <is>
          <t>- Continued working on Audit Logs but had issues with testing and continuing with invoice processing audit logging as the tokens are unavailable.</t>
        </is>
      </c>
      <c r="F25" s="39" t="n"/>
      <c r="G25" s="39" t="inlineStr">
        <is>
          <t>Tokens are unavailable.</t>
        </is>
      </c>
    </row>
    <row r="26" hidden="1">
      <c r="A26" s="41" t="n">
        <v>46280</v>
      </c>
      <c r="B26" s="42" t="inlineStr">
        <is>
          <t>Suganth</t>
        </is>
      </c>
      <c r="C26" s="43" t="inlineStr">
        <is>
          <t>ESSA</t>
        </is>
      </c>
      <c r="D26" s="37" t="n"/>
      <c r="F26" s="37" t="n"/>
      <c r="G26" s="37" t="n"/>
    </row>
    <row r="27" hidden="1">
      <c r="A27" s="41" t="n">
        <v>46280</v>
      </c>
      <c r="B27" s="42" t="inlineStr">
        <is>
          <t>Rahul</t>
        </is>
      </c>
      <c r="C27" s="43" t="inlineStr">
        <is>
          <t>ESSA</t>
        </is>
      </c>
      <c r="D27" s="39" t="n">
        <v>26</v>
      </c>
      <c r="E27" s="37" t="n"/>
      <c r="F27" s="39" t="n"/>
      <c r="G27" s="39" t="n"/>
    </row>
    <row r="28" hidden="1" ht="24" customHeight="1">
      <c r="A28" s="41" t="n">
        <v>46280</v>
      </c>
      <c r="B28" s="42" t="inlineStr">
        <is>
          <t>Khalid</t>
        </is>
      </c>
      <c r="C28" s="43" t="inlineStr">
        <is>
          <t>ESSA</t>
        </is>
      </c>
      <c r="D28" s="37" t="n"/>
      <c r="E28" s="37" t="n"/>
      <c r="F28" s="197" t="inlineStr">
        <is>
          <t>- Work on invoice processing end to end testing for Civil Contract invoice.</t>
        </is>
      </c>
      <c r="G28" s="37" t="n"/>
    </row>
    <row r="29">
      <c r="A29" s="190" t="n">
        <v>46281</v>
      </c>
      <c r="B29" s="42" t="inlineStr">
        <is>
          <t>Sabrina</t>
        </is>
      </c>
      <c r="C29" s="191" t="inlineStr">
        <is>
          <t>ESSA</t>
        </is>
      </c>
      <c r="D29" s="44" t="n">
        <v>45</v>
      </c>
      <c r="E29" s="192" t="inlineStr">
        <is>
          <t>- Completed Audit Log for Invoice Processing and Login logs</t>
        </is>
      </c>
      <c r="G29" s="39" t="n"/>
    </row>
    <row r="30" hidden="1">
      <c r="A30" s="190" t="n">
        <v>46281</v>
      </c>
      <c r="B30" s="42" t="inlineStr">
        <is>
          <t>Suganth</t>
        </is>
      </c>
      <c r="C30" s="191" t="inlineStr">
        <is>
          <t>ESSA</t>
        </is>
      </c>
      <c r="D30" s="193" t="n"/>
      <c r="E30" s="193" t="n"/>
      <c r="F30" s="37" t="n"/>
      <c r="G30" s="37" t="n"/>
    </row>
    <row r="31" hidden="1" ht="24" customHeight="1">
      <c r="A31" s="190" t="n">
        <v>46281</v>
      </c>
      <c r="B31" s="42" t="inlineStr">
        <is>
          <t>Rahul</t>
        </is>
      </c>
      <c r="C31" s="191" t="inlineStr">
        <is>
          <t>ESSA</t>
        </is>
      </c>
      <c r="D31" s="194" t="inlineStr">
        <is>
          <t>54, 56</t>
        </is>
      </c>
      <c r="E31" s="44" t="inlineStr">
        <is>
          <t>- Worked on Invoice Orchestration, created the required tables, and started implementing the backend and frontend changes.</t>
        </is>
      </c>
      <c r="F31" s="39" t="n"/>
      <c r="G31" s="39" t="n"/>
    </row>
    <row r="32" hidden="1">
      <c r="A32" s="190" t="n">
        <v>46281</v>
      </c>
      <c r="B32" s="42" t="inlineStr">
        <is>
          <t>Khalid</t>
        </is>
      </c>
      <c r="C32" s="191" t="inlineStr">
        <is>
          <t>ESSA</t>
        </is>
      </c>
      <c r="D32" s="193" t="n"/>
      <c r="E32" s="193" t="n"/>
      <c r="F32" s="37" t="n"/>
      <c r="G32" s="37" t="n"/>
    </row>
    <row r="33" ht="14.25" customHeight="1">
      <c r="A33" s="190" t="n">
        <v>46282</v>
      </c>
      <c r="B33" s="42" t="inlineStr">
        <is>
          <t>Sabrina</t>
        </is>
      </c>
      <c r="C33" s="191" t="inlineStr">
        <is>
          <t>ESSA</t>
        </is>
      </c>
      <c r="D33" s="39" t="n">
        <v>52</v>
      </c>
      <c r="E33" s="197" t="inlineStr">
        <is>
          <t>- Worked on invoice processing end to end testing for Civil Contract invoice.</t>
        </is>
      </c>
      <c r="F33" s="197" t="inlineStr">
        <is>
          <t>- Continue working on end to end testing for Civil Contract.</t>
        </is>
      </c>
      <c r="G33" s="39" t="n"/>
    </row>
    <row r="34" hidden="1" ht="14.25" customHeight="1">
      <c r="A34" s="190" t="n">
        <v>46282</v>
      </c>
      <c r="B34" s="42" t="inlineStr">
        <is>
          <t>Suganth</t>
        </is>
      </c>
      <c r="C34" s="191" t="inlineStr">
        <is>
          <t>ESSA</t>
        </is>
      </c>
      <c r="D34" s="37" t="n"/>
      <c r="E34" s="37" t="n"/>
      <c r="F34" s="37" t="n"/>
      <c r="G34" s="37" t="n"/>
    </row>
    <row r="35" hidden="1" ht="14.25" customHeight="1">
      <c r="A35" s="190" t="n">
        <v>46282</v>
      </c>
      <c r="B35" s="42" t="inlineStr">
        <is>
          <t>Rahul</t>
        </is>
      </c>
      <c r="C35" s="191" t="inlineStr">
        <is>
          <t>ESSA</t>
        </is>
      </c>
      <c r="D35" s="39" t="n"/>
      <c r="E35" s="39" t="n"/>
      <c r="F35" s="39" t="n"/>
      <c r="G35" s="39" t="n"/>
    </row>
    <row r="36" hidden="1" ht="14.25" customHeight="1">
      <c r="A36" s="190" t="n">
        <v>46282</v>
      </c>
      <c r="B36" s="42" t="inlineStr">
        <is>
          <t>Khalid</t>
        </is>
      </c>
      <c r="C36" s="191" t="inlineStr">
        <is>
          <t>ESSA</t>
        </is>
      </c>
      <c r="D36" s="37" t="n"/>
      <c r="E36" s="37" t="n"/>
      <c r="F36" s="37" t="n"/>
      <c r="G36" s="37" t="n"/>
    </row>
    <row r="37" ht="46.5" customHeight="1">
      <c r="A37" s="190" t="n">
        <v>46283</v>
      </c>
      <c r="B37" s="42" t="inlineStr">
        <is>
          <t>Sabrina</t>
        </is>
      </c>
      <c r="C37" s="191" t="inlineStr">
        <is>
          <t>ESSA</t>
        </is>
      </c>
      <c r="D37" s="39" t="n">
        <v>52</v>
      </c>
      <c r="E37" s="197" t="inlineStr">
        <is>
          <t>- Created new document on required fields and categories to set up full extraction for other category types.</t>
        </is>
      </c>
      <c r="F37" s="39" t="n"/>
      <c r="G37" s="39" t="n"/>
    </row>
    <row r="38" hidden="1" ht="14.25" customHeight="1">
      <c r="A38" s="190" t="n">
        <v>46283</v>
      </c>
      <c r="B38" s="42" t="inlineStr">
        <is>
          <t>Suganth</t>
        </is>
      </c>
      <c r="C38" s="191" t="inlineStr">
        <is>
          <t>ESSA</t>
        </is>
      </c>
      <c r="D38" s="37" t="n"/>
      <c r="E38" s="37" t="n"/>
      <c r="F38" s="37" t="n"/>
      <c r="G38" s="37" t="n"/>
    </row>
    <row r="39" hidden="1" ht="14.25" customHeight="1">
      <c r="A39" s="190" t="n">
        <v>46283</v>
      </c>
      <c r="B39" s="42" t="inlineStr">
        <is>
          <t>Rahul</t>
        </is>
      </c>
      <c r="C39" s="191" t="inlineStr">
        <is>
          <t>ESSA</t>
        </is>
      </c>
      <c r="D39" s="39" t="n"/>
      <c r="E39" s="39" t="n"/>
      <c r="F39" s="39" t="inlineStr">
        <is>
          <t>On Leave</t>
        </is>
      </c>
      <c r="G39" s="39" t="n"/>
    </row>
    <row r="40" hidden="1" ht="14.25" customHeight="1">
      <c r="A40" s="190" t="n">
        <v>46283</v>
      </c>
      <c r="B40" s="42" t="inlineStr">
        <is>
          <t>Khalid</t>
        </is>
      </c>
      <c r="C40" s="191" t="inlineStr">
        <is>
          <t>ESSA</t>
        </is>
      </c>
      <c r="D40" s="37" t="n"/>
      <c r="E40" s="37" t="n"/>
      <c r="F40" s="37" t="n"/>
      <c r="G40" s="37" t="n"/>
    </row>
    <row r="41" ht="14.25" customHeight="1">
      <c r="A41" s="213" t="n">
        <v>46286</v>
      </c>
      <c r="B41" s="214" t="inlineStr">
        <is>
          <t>Sabrina</t>
        </is>
      </c>
      <c r="C41" s="215" t="inlineStr">
        <is>
          <t>ESSA</t>
        </is>
      </c>
      <c r="D41" s="39" t="n">
        <v>52</v>
      </c>
      <c r="E41" s="197" t="inlineStr">
        <is>
          <t>- Worked on referencing the existing requirement gathering for end to end testing for the Civil Contract.
- Connected with Nitesh with Robin and Pranay for better understanding on the requirements.</t>
        </is>
      </c>
      <c r="F41" s="39" t="n"/>
      <c r="G41" s="39" t="n"/>
    </row>
    <row r="42" hidden="1" ht="14.25" customHeight="1">
      <c r="A42" s="213" t="n">
        <v>46286</v>
      </c>
      <c r="B42" s="214" t="inlineStr">
        <is>
          <t>Suganth</t>
        </is>
      </c>
      <c r="C42" s="215" t="inlineStr">
        <is>
          <t>ESSA</t>
        </is>
      </c>
      <c r="D42" s="37" t="n"/>
      <c r="E42" s="37" t="n"/>
      <c r="F42" s="216" t="inlineStr">
        <is>
          <t>On Leave</t>
        </is>
      </c>
      <c r="G42" s="37" t="n"/>
    </row>
    <row r="43" hidden="1" ht="14.25" customHeight="1">
      <c r="A43" s="213" t="n">
        <v>46286</v>
      </c>
      <c r="B43" s="214" t="inlineStr">
        <is>
          <t>Rahul</t>
        </is>
      </c>
      <c r="C43" s="215" t="inlineStr">
        <is>
          <t>ESSA</t>
        </is>
      </c>
      <c r="D43" s="39" t="n"/>
      <c r="E43" s="39" t="inlineStr">
        <is>
          <t>On Leave</t>
        </is>
      </c>
      <c r="F43" s="39" t="inlineStr">
        <is>
          <t>On Leave</t>
        </is>
      </c>
      <c r="G43" s="39" t="n"/>
    </row>
    <row r="44" hidden="1" ht="14.25" customHeight="1">
      <c r="A44" s="213" t="n">
        <v>46286</v>
      </c>
      <c r="B44" s="214" t="inlineStr">
        <is>
          <t>Khalid</t>
        </is>
      </c>
      <c r="C44" s="215" t="inlineStr">
        <is>
          <t>ESSA</t>
        </is>
      </c>
      <c r="D44" s="37" t="n"/>
      <c r="E44" s="37" t="n"/>
      <c r="F44" s="37" t="n"/>
      <c r="G44" s="37" t="n"/>
    </row>
    <row r="45" ht="14.25" customHeight="1">
      <c r="A45" s="218" t="n">
        <v>46287</v>
      </c>
      <c r="B45" s="214" t="inlineStr">
        <is>
          <t>Sabrina</t>
        </is>
      </c>
      <c r="C45" s="215" t="inlineStr">
        <is>
          <t>ESSA</t>
        </is>
      </c>
      <c r="D45" s="39" t="n">
        <v>52</v>
      </c>
      <c r="E45" s="197" t="inlineStr">
        <is>
          <t>- Call with Anas on CSV clarification
- Worked on</t>
        </is>
      </c>
      <c r="F45" s="39" t="n"/>
      <c r="G45" s="39" t="n"/>
    </row>
    <row r="46" ht="14.25" customHeight="1">
      <c r="A46" s="218" t="n">
        <v>46288</v>
      </c>
      <c r="B46" s="214" t="inlineStr">
        <is>
          <t>Sabrina</t>
        </is>
      </c>
      <c r="C46" s="215" t="inlineStr">
        <is>
          <t>ESSA</t>
        </is>
      </c>
      <c r="D46" s="37" t="n"/>
      <c r="E46" s="219" t="inlineStr">
        <is>
          <t>- Had clarification call with Nitish on the requirements for categorising PO and Non-PO
- Worked on testing the differences between Non-PO invoices - Hotel Invoices</t>
        </is>
      </c>
      <c r="F46" s="37" t="n"/>
      <c r="G46" s="37" t="n"/>
    </row>
    <row r="47" ht="14.25" customHeight="1">
      <c r="A47" s="39" t="n"/>
      <c r="B47" s="45" t="n"/>
      <c r="C47" s="39" t="n"/>
      <c r="D47" s="39" t="n"/>
      <c r="E47" s="39" t="n"/>
      <c r="F47" s="39" t="n"/>
      <c r="G47" s="39" t="n"/>
    </row>
    <row r="48" ht="14.25" customHeight="1">
      <c r="A48" s="37" t="n"/>
      <c r="B48" s="45" t="n"/>
      <c r="C48" s="37" t="n"/>
      <c r="D48" s="37" t="n"/>
      <c r="E48" s="37" t="n"/>
      <c r="F48" s="37" t="n"/>
      <c r="G48" s="37" t="n"/>
    </row>
    <row r="49" ht="14.25" customHeight="1">
      <c r="A49" s="39" t="n"/>
      <c r="B49" s="45" t="n"/>
      <c r="C49" s="39" t="n"/>
      <c r="D49" s="39" t="n"/>
      <c r="E49" s="39" t="n"/>
      <c r="F49" s="39" t="n"/>
      <c r="G49" s="39" t="n"/>
    </row>
  </sheetData>
  <autoFilter ref="A3:G44">
    <filterColumn colId="1" hiddenButton="0" showButton="1">
      <filters>
        <filter val="Sabrina"/>
      </filters>
    </filterColumn>
  </autoFilter>
  <mergeCells count="2">
    <mergeCell ref="A2:G2"/>
    <mergeCell ref="A1:G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D73"/>
  <sheetViews>
    <sheetView topLeftCell="A21" zoomScaleNormal="100" workbookViewId="0">
      <selection activeCell="G58" sqref="G58"/>
    </sheetView>
  </sheetViews>
  <sheetFormatPr baseColWidth="8" defaultColWidth="8.5703125" defaultRowHeight="15"/>
  <cols>
    <col width="7.85546875" customWidth="1" min="1" max="1"/>
    <col width="19.85546875" customWidth="1" min="2" max="2"/>
    <col width="25.5703125" customWidth="1" min="3" max="3"/>
    <col width="64.5703125" customWidth="1" min="4" max="4"/>
  </cols>
  <sheetData>
    <row r="1" ht="14.25" customHeight="1">
      <c r="A1" t="inlineStr">
        <is>
          <t>Phase</t>
        </is>
      </c>
      <c r="B1" t="inlineStr">
        <is>
          <t>Workstream</t>
        </is>
      </c>
      <c r="C1" t="inlineStr">
        <is>
          <t>Activity</t>
        </is>
      </c>
      <c r="D1" t="inlineStr">
        <is>
          <t>Task</t>
        </is>
      </c>
    </row>
    <row r="2" ht="14.25" customHeight="1">
      <c r="A2" t="inlineStr">
        <is>
          <t>Phase 2</t>
        </is>
      </c>
      <c r="B2" t="inlineStr">
        <is>
          <t>Full Stack</t>
        </is>
      </c>
      <c r="C2" t="inlineStr">
        <is>
          <t>Req. 4 Development</t>
        </is>
      </c>
      <c r="D2" t="inlineStr">
        <is>
          <t>Develop Req. 4-specific frontend functionality</t>
        </is>
      </c>
    </row>
    <row r="3" ht="14.25" customHeight="1">
      <c r="A3" t="inlineStr">
        <is>
          <t>Phase 2</t>
        </is>
      </c>
      <c r="B3" t="inlineStr">
        <is>
          <t>Full Stack</t>
        </is>
      </c>
      <c r="C3" t="inlineStr">
        <is>
          <t>Req. 4 Development</t>
        </is>
      </c>
      <c r="D3" t="inlineStr">
        <is>
          <t>Develop Req. 4-specific backend/API functionality</t>
        </is>
      </c>
    </row>
    <row r="4" ht="14.25" customHeight="1">
      <c r="A4" t="inlineStr">
        <is>
          <t>Phase 2</t>
        </is>
      </c>
      <c r="B4" t="inlineStr">
        <is>
          <t>Full Stack</t>
        </is>
      </c>
      <c r="C4" t="inlineStr">
        <is>
          <t>Req. 5 Development</t>
        </is>
      </c>
      <c r="D4" t="inlineStr">
        <is>
          <t>Develop Req. 5-specific frontend functionality</t>
        </is>
      </c>
    </row>
    <row r="5" ht="14.25" customHeight="1">
      <c r="A5" t="inlineStr">
        <is>
          <t>Phase 2</t>
        </is>
      </c>
      <c r="B5" t="inlineStr">
        <is>
          <t>Full Stack</t>
        </is>
      </c>
      <c r="C5" t="inlineStr">
        <is>
          <t>Req. 5 Development</t>
        </is>
      </c>
      <c r="D5" t="inlineStr">
        <is>
          <t>Develop Req. 5-specific backend/API functionality</t>
        </is>
      </c>
    </row>
    <row r="6" ht="14.25" customHeight="1">
      <c r="A6" t="inlineStr">
        <is>
          <t>Phase 2</t>
        </is>
      </c>
      <c r="B6" t="inlineStr">
        <is>
          <t>Full Stack</t>
        </is>
      </c>
      <c r="C6" t="inlineStr">
        <is>
          <t>Req. 6 Development</t>
        </is>
      </c>
      <c r="D6" t="inlineStr">
        <is>
          <t>Develop Req. 6-specific frontend functionality</t>
        </is>
      </c>
    </row>
    <row r="7" ht="14.25" customHeight="1">
      <c r="A7" t="inlineStr">
        <is>
          <t>Phase 2</t>
        </is>
      </c>
      <c r="B7" t="inlineStr">
        <is>
          <t>Full Stack</t>
        </is>
      </c>
      <c r="C7" t="inlineStr">
        <is>
          <t>Req. 6 Development</t>
        </is>
      </c>
      <c r="D7" t="inlineStr">
        <is>
          <t>Develop Req. 6-specific backend/API functionality</t>
        </is>
      </c>
    </row>
    <row r="8" ht="14.25" customHeight="1">
      <c r="A8" t="inlineStr">
        <is>
          <t>Phase 2</t>
        </is>
      </c>
      <c r="B8" t="inlineStr">
        <is>
          <t>Full Stack</t>
        </is>
      </c>
      <c r="C8" t="inlineStr">
        <is>
          <t>Invoice Posting</t>
        </is>
      </c>
      <c r="D8" t="inlineStr">
        <is>
          <t>Develop invoice posting workflow for Phase 2</t>
        </is>
      </c>
    </row>
    <row r="9" ht="14.25" customHeight="1">
      <c r="A9" t="inlineStr">
        <is>
          <t>Phase 2</t>
        </is>
      </c>
      <c r="B9" t="inlineStr">
        <is>
          <t>Full Stack</t>
        </is>
      </c>
      <c r="C9" t="inlineStr">
        <is>
          <t>Invoice Posting</t>
        </is>
      </c>
      <c r="D9" t="inlineStr">
        <is>
          <t>Implement posting status and response handling</t>
        </is>
      </c>
    </row>
    <row r="10" ht="14.25" customHeight="1">
      <c r="A10" t="inlineStr">
        <is>
          <t>Phase 2</t>
        </is>
      </c>
      <c r="B10" t="inlineStr">
        <is>
          <t>Full Stack</t>
        </is>
      </c>
      <c r="C10" t="inlineStr">
        <is>
          <t>Invoice Posting</t>
        </is>
      </c>
      <c r="D10" t="inlineStr">
        <is>
          <t>Implement posting failure/exception handling</t>
        </is>
      </c>
    </row>
    <row r="11" ht="14.25" customHeight="1">
      <c r="A11" t="inlineStr">
        <is>
          <t>Phase 2</t>
        </is>
      </c>
      <c r="B11" t="inlineStr">
        <is>
          <t>Full Stack</t>
        </is>
      </c>
      <c r="C11" t="inlineStr">
        <is>
          <t>Re-match</t>
        </is>
      </c>
      <c r="D11" t="inlineStr">
        <is>
          <t>Develop Re-match functionality, if applicable to Req. 4-6</t>
        </is>
      </c>
    </row>
    <row r="12" ht="14.25" customHeight="1">
      <c r="A12" t="inlineStr">
        <is>
          <t>Phase 2</t>
        </is>
      </c>
      <c r="B12" t="inlineStr">
        <is>
          <t>Full Stack</t>
        </is>
      </c>
      <c r="C12" t="inlineStr">
        <is>
          <t>Writeback</t>
        </is>
      </c>
      <c r="D12" t="inlineStr">
        <is>
          <t>Develop Writeback functionality, if applicable to Req. 4-6</t>
        </is>
      </c>
    </row>
    <row r="14" ht="14.25" customHeight="1">
      <c r="A14" t="inlineStr">
        <is>
          <t>Phase 2</t>
        </is>
      </c>
      <c r="B14" t="inlineStr">
        <is>
          <t>RPA</t>
        </is>
      </c>
      <c r="C14" t="inlineStr">
        <is>
          <t>RPA Posting Automation</t>
        </is>
      </c>
      <c r="D14" t="inlineStr">
        <is>
          <t>Develop MIRO posting bot</t>
        </is>
      </c>
    </row>
    <row r="15" ht="14.25" customHeight="1">
      <c r="A15" t="inlineStr">
        <is>
          <t>Phase 2</t>
        </is>
      </c>
      <c r="B15" t="inlineStr">
        <is>
          <t>RPA</t>
        </is>
      </c>
      <c r="C15" t="inlineStr">
        <is>
          <t>RPA Posting Automation</t>
        </is>
      </c>
      <c r="D15" t="inlineStr">
        <is>
          <t>Develop FB60 posting bot</t>
        </is>
      </c>
    </row>
    <row r="16" ht="14.25" customHeight="1">
      <c r="A16" t="inlineStr">
        <is>
          <t>Phase 2</t>
        </is>
      </c>
      <c r="B16" t="inlineStr">
        <is>
          <t>RPA</t>
        </is>
      </c>
      <c r="C16" t="inlineStr">
        <is>
          <t>RPA Document Automation</t>
        </is>
      </c>
      <c r="D16" t="inlineStr">
        <is>
          <t>Develop GOS automation</t>
        </is>
      </c>
    </row>
    <row r="17" ht="14.25" customHeight="1">
      <c r="A17" t="inlineStr">
        <is>
          <t>Phase 2</t>
        </is>
      </c>
      <c r="B17" t="inlineStr">
        <is>
          <t>RPA</t>
        </is>
      </c>
      <c r="C17" t="inlineStr">
        <is>
          <t>RPA Re-match Automation</t>
        </is>
      </c>
      <c r="D17" t="inlineStr">
        <is>
          <t>Develop Re-match bot</t>
        </is>
      </c>
    </row>
    <row r="18" ht="14.25" customHeight="1">
      <c r="A18" t="inlineStr">
        <is>
          <t>Phase 2</t>
        </is>
      </c>
      <c r="B18" t="inlineStr">
        <is>
          <t>RPA</t>
        </is>
      </c>
      <c r="C18" t="inlineStr">
        <is>
          <t>RPA Writeback Automation</t>
        </is>
      </c>
      <c r="D18" t="inlineStr">
        <is>
          <t>Develop Writeback bot</t>
        </is>
      </c>
    </row>
    <row r="19" ht="14.25" customHeight="1">
      <c r="A19" t="inlineStr">
        <is>
          <t>Phase 2</t>
        </is>
      </c>
      <c r="B19" t="inlineStr">
        <is>
          <t>RPA</t>
        </is>
      </c>
      <c r="C19" t="inlineStr">
        <is>
          <t>RPA Integration</t>
        </is>
      </c>
      <c r="D19" t="inlineStr">
        <is>
          <t>Integrate posting bots with EAPA</t>
        </is>
      </c>
    </row>
    <row r="20" ht="14.25" customHeight="1">
      <c r="A20" t="inlineStr">
        <is>
          <t>Phase 2</t>
        </is>
      </c>
      <c r="B20" t="inlineStr">
        <is>
          <t>RPA</t>
        </is>
      </c>
      <c r="C20" t="inlineStr">
        <is>
          <t>RPA Integration</t>
        </is>
      </c>
      <c r="D20" t="inlineStr">
        <is>
          <t>Implement bot response/status update to EAPA</t>
        </is>
      </c>
    </row>
    <row r="21" ht="14.25" customHeight="1">
      <c r="A21" t="inlineStr">
        <is>
          <t>Phase 2</t>
        </is>
      </c>
      <c r="B21" t="inlineStr">
        <is>
          <t>RPA</t>
        </is>
      </c>
      <c r="C21" t="inlineStr">
        <is>
          <t>RPA Exception Handling</t>
        </is>
      </c>
      <c r="D21" t="inlineStr">
        <is>
          <t>Implement posting bot exception handling</t>
        </is>
      </c>
    </row>
    <row r="22" ht="14.25" customHeight="1">
      <c r="A22" t="inlineStr">
        <is>
          <t>Phase 2</t>
        </is>
      </c>
      <c r="B22" t="inlineStr">
        <is>
          <t>RPA</t>
        </is>
      </c>
      <c r="C22" t="inlineStr">
        <is>
          <t>RPA Testing</t>
        </is>
      </c>
      <c r="D22" t="inlineStr">
        <is>
          <t>Perform unit testing of Phase 2 bots</t>
        </is>
      </c>
    </row>
    <row r="24" ht="14.25" customHeight="1">
      <c r="A24" t="inlineStr">
        <is>
          <t>Phase 2</t>
        </is>
      </c>
      <c r="B24" t="inlineStr">
        <is>
          <t>SAP</t>
        </is>
      </c>
      <c r="C24" t="inlineStr">
        <is>
          <t>SAP Posting Integration</t>
        </is>
      </c>
      <c r="D24" t="inlineStr">
        <is>
          <t>Finalise SAP posting interface for Phase 2</t>
        </is>
      </c>
    </row>
    <row r="25" ht="14.25" customHeight="1">
      <c r="A25" t="inlineStr">
        <is>
          <t>Phase 2</t>
        </is>
      </c>
      <c r="B25" t="inlineStr">
        <is>
          <t>SAP</t>
        </is>
      </c>
      <c r="C25" t="inlineStr">
        <is>
          <t>SAP Posting Integration</t>
        </is>
      </c>
      <c r="D25" t="inlineStr">
        <is>
          <t>Develop required SAP posting interface/programs</t>
        </is>
      </c>
    </row>
    <row r="26" ht="14.25" customHeight="1">
      <c r="A26" t="inlineStr">
        <is>
          <t>Phase 2</t>
        </is>
      </c>
      <c r="B26" t="inlineStr">
        <is>
          <t>SAP</t>
        </is>
      </c>
      <c r="C26" t="inlineStr">
        <is>
          <t>MIRO Integration</t>
        </is>
      </c>
      <c r="D26" t="inlineStr">
        <is>
          <t>Implement MIRO integration</t>
        </is>
      </c>
    </row>
    <row r="27" ht="14.25" customHeight="1">
      <c r="A27" t="inlineStr">
        <is>
          <t>Phase 2</t>
        </is>
      </c>
      <c r="B27" t="inlineStr">
        <is>
          <t>SAP</t>
        </is>
      </c>
      <c r="C27" t="inlineStr">
        <is>
          <t>FB60 Integration</t>
        </is>
      </c>
      <c r="D27" t="inlineStr">
        <is>
          <t>Implement FB60 integration</t>
        </is>
      </c>
    </row>
    <row r="28" ht="14.25" customHeight="1">
      <c r="A28" t="inlineStr">
        <is>
          <t>Phase 2</t>
        </is>
      </c>
      <c r="B28" t="inlineStr">
        <is>
          <t>SAP</t>
        </is>
      </c>
      <c r="C28" t="inlineStr">
        <is>
          <t>GOS Integration</t>
        </is>
      </c>
      <c r="D28" t="inlineStr">
        <is>
          <t>Implement GOS integration</t>
        </is>
      </c>
    </row>
    <row r="29" ht="14.25" customHeight="1">
      <c r="A29" t="inlineStr">
        <is>
          <t>Phase 2</t>
        </is>
      </c>
      <c r="B29" t="inlineStr">
        <is>
          <t>SAP</t>
        </is>
      </c>
      <c r="C29" t="inlineStr">
        <is>
          <t>Re-match Integration</t>
        </is>
      </c>
      <c r="D29" t="inlineStr">
        <is>
          <t>Implement SAP support for Re-match</t>
        </is>
      </c>
    </row>
    <row r="30" ht="14.25" customHeight="1">
      <c r="A30" t="inlineStr">
        <is>
          <t>Phase 2</t>
        </is>
      </c>
      <c r="B30" t="inlineStr">
        <is>
          <t>SAP</t>
        </is>
      </c>
      <c r="C30" t="inlineStr">
        <is>
          <t>Writeback Integration</t>
        </is>
      </c>
      <c r="D30" t="inlineStr">
        <is>
          <t>Implement SAP writeback</t>
        </is>
      </c>
    </row>
    <row r="31" ht="14.25" customHeight="1">
      <c r="A31" t="inlineStr">
        <is>
          <t>Phase 2</t>
        </is>
      </c>
      <c r="B31" t="inlineStr">
        <is>
          <t>SAP</t>
        </is>
      </c>
      <c r="C31" t="inlineStr">
        <is>
          <t>Posting Response</t>
        </is>
      </c>
      <c r="D31" t="inlineStr">
        <is>
          <t>Implement SAP posting response/status handling</t>
        </is>
      </c>
    </row>
    <row r="32" ht="14.25" customHeight="1">
      <c r="A32" t="inlineStr">
        <is>
          <t>Phase 2</t>
        </is>
      </c>
      <c r="B32" t="inlineStr">
        <is>
          <t>SAP</t>
        </is>
      </c>
      <c r="C32" t="inlineStr">
        <is>
          <t>Error Handling</t>
        </is>
      </c>
      <c r="D32" t="inlineStr">
        <is>
          <t>Implement SAP posting error handling</t>
        </is>
      </c>
    </row>
    <row r="33" ht="14.25" customHeight="1">
      <c r="A33" t="inlineStr">
        <is>
          <t>Phase 2</t>
        </is>
      </c>
      <c r="B33" t="inlineStr">
        <is>
          <t>SAP</t>
        </is>
      </c>
      <c r="C33" t="inlineStr">
        <is>
          <t>SAP Testing</t>
        </is>
      </c>
      <c r="D33" t="inlineStr">
        <is>
          <t>Perform SAP posting/interface testing</t>
        </is>
      </c>
    </row>
    <row r="35" ht="14.25" customHeight="1">
      <c r="A35" t="inlineStr">
        <is>
          <t>Phase 2</t>
        </is>
      </c>
      <c r="B35" t="inlineStr">
        <is>
          <t>AI</t>
        </is>
      </c>
      <c r="C35" t="inlineStr">
        <is>
          <t>AI Enhancement</t>
        </is>
      </c>
      <c r="D35" t="inlineStr">
        <is>
          <t>Implement additional extraction fields required for Req. 4-6</t>
        </is>
      </c>
    </row>
    <row r="36" ht="14.25" customHeight="1">
      <c r="A36" t="inlineStr">
        <is>
          <t>Phase 2</t>
        </is>
      </c>
      <c r="B36" t="inlineStr">
        <is>
          <t>AI</t>
        </is>
      </c>
      <c r="C36" t="inlineStr">
        <is>
          <t>AI Enhancement</t>
        </is>
      </c>
      <c r="D36" t="inlineStr">
        <is>
          <t>Enhance extraction logic for additional Phase 2 invoice types/scenarios</t>
        </is>
      </c>
    </row>
    <row r="37" ht="14.25" customHeight="1">
      <c r="A37" t="inlineStr">
        <is>
          <t>Phase 2</t>
        </is>
      </c>
      <c r="B37" t="inlineStr">
        <is>
          <t>AI</t>
        </is>
      </c>
      <c r="C37" t="inlineStr">
        <is>
          <t>AI Integration</t>
        </is>
      </c>
      <c r="D37" t="inlineStr">
        <is>
          <t>Integrate AI enhancements with existing EAPA flow</t>
        </is>
      </c>
    </row>
    <row r="38" ht="14.25" customHeight="1">
      <c r="A38" t="inlineStr">
        <is>
          <t>Phase 2</t>
        </is>
      </c>
      <c r="B38" t="inlineStr">
        <is>
          <t>AI</t>
        </is>
      </c>
      <c r="C38" t="inlineStr">
        <is>
          <t>AI Testing</t>
        </is>
      </c>
      <c r="D38" t="inlineStr">
        <is>
          <t>Test additional Phase 2 invoice scenarios</t>
        </is>
      </c>
    </row>
    <row r="40" ht="14.25" customHeight="1">
      <c r="A40" t="inlineStr">
        <is>
          <t>Phase 2</t>
        </is>
      </c>
      <c r="B40" t="inlineStr">
        <is>
          <t>Business Rules</t>
        </is>
      </c>
      <c r="C40" t="inlineStr">
        <is>
          <t>Additional Business Rules</t>
        </is>
      </c>
      <c r="D40" t="inlineStr">
        <is>
          <t>Implement only new business rules applicable to Req. 4-6</t>
        </is>
      </c>
    </row>
    <row r="41" ht="14.25" customHeight="1">
      <c r="A41" t="inlineStr">
        <is>
          <t>Phase 2</t>
        </is>
      </c>
      <c r="B41" t="inlineStr">
        <is>
          <t>Business Rules</t>
        </is>
      </c>
      <c r="C41" t="inlineStr">
        <is>
          <t>Calculation Enhancement</t>
        </is>
      </c>
      <c r="D41" t="inlineStr">
        <is>
          <t>Implement additional calculation logic required for Req. 4-6</t>
        </is>
      </c>
    </row>
    <row r="42" ht="14.25" customHeight="1">
      <c r="A42" t="inlineStr">
        <is>
          <t>Phase 2</t>
        </is>
      </c>
      <c r="B42" t="inlineStr">
        <is>
          <t>Business Rules</t>
        </is>
      </c>
      <c r="C42" t="inlineStr">
        <is>
          <t>Validation Enhancement</t>
        </is>
      </c>
      <c r="D42" t="inlineStr">
        <is>
          <t>Implement additional validation rules required for Req. 4-6</t>
        </is>
      </c>
    </row>
    <row r="44" ht="14.25" customHeight="1">
      <c r="A44" t="inlineStr">
        <is>
          <t>Phase 2</t>
        </is>
      </c>
      <c r="B44" t="inlineStr">
        <is>
          <t>Integration</t>
        </is>
      </c>
      <c r="C44" t="inlineStr">
        <is>
          <t>FS-RPA Integration</t>
        </is>
      </c>
      <c r="D44" t="inlineStr">
        <is>
          <t>Integrate Phase 2 invoice posting workflow with RPA</t>
        </is>
      </c>
    </row>
    <row r="45" ht="14.25" customHeight="1">
      <c r="A45" t="inlineStr">
        <is>
          <t>Phase 2</t>
        </is>
      </c>
      <c r="B45" t="inlineStr">
        <is>
          <t>Integration</t>
        </is>
      </c>
      <c r="C45" t="inlineStr">
        <is>
          <t>RPA-SAP Integration</t>
        </is>
      </c>
      <c r="D45" t="inlineStr">
        <is>
          <t>Integrate posting bots with SAP</t>
        </is>
      </c>
    </row>
    <row r="46" ht="14.25" customHeight="1">
      <c r="A46" t="inlineStr">
        <is>
          <t>Phase 2</t>
        </is>
      </c>
      <c r="B46" t="inlineStr">
        <is>
          <t>Integration</t>
        </is>
      </c>
      <c r="C46" t="inlineStr">
        <is>
          <t>FS-SAP Integration</t>
        </is>
      </c>
      <c r="D46" t="inlineStr">
        <is>
          <t>Integrate Phase 2 posting functionality with SAP</t>
        </is>
      </c>
    </row>
    <row r="47" ht="14.25" customHeight="1">
      <c r="A47" t="inlineStr">
        <is>
          <t>Phase 2</t>
        </is>
      </c>
      <c r="B47" t="inlineStr">
        <is>
          <t>Integration</t>
        </is>
      </c>
      <c r="C47" t="inlineStr">
        <is>
          <t>Writeback Integration</t>
        </is>
      </c>
      <c r="D47" t="inlineStr">
        <is>
          <t>Integrate SAP/RPA posting response and writeback with EAPA</t>
        </is>
      </c>
    </row>
    <row r="48" ht="14.25" customHeight="1">
      <c r="A48" t="inlineStr">
        <is>
          <t>Phase 2</t>
        </is>
      </c>
      <c r="B48" t="inlineStr">
        <is>
          <t>Integration</t>
        </is>
      </c>
      <c r="C48" t="inlineStr">
        <is>
          <t>End-to-End Integration</t>
        </is>
      </c>
      <c r="D48" t="inlineStr">
        <is>
          <t>Complete Phase 2 end-to-end invoice posting flow</t>
        </is>
      </c>
    </row>
    <row r="49" ht="14.25" customHeight="1">
      <c r="A49" t="inlineStr">
        <is>
          <t>Phase 2</t>
        </is>
      </c>
      <c r="B49" t="inlineStr">
        <is>
          <t>Integration</t>
        </is>
      </c>
      <c r="C49" t="inlineStr">
        <is>
          <t>Error Handling</t>
        </is>
      </c>
      <c r="D49" t="inlineStr">
        <is>
          <t>Validate end-to-end exception and failure handling</t>
        </is>
      </c>
    </row>
    <row r="51" ht="14.25" customHeight="1">
      <c r="A51" t="inlineStr">
        <is>
          <t>Phase 2</t>
        </is>
      </c>
      <c r="B51" t="inlineStr">
        <is>
          <t>Testing</t>
        </is>
      </c>
      <c r="C51" t="inlineStr">
        <is>
          <t>Unit Testing</t>
        </is>
      </c>
      <c r="D51" t="inlineStr">
        <is>
          <t>Complete FS unit testing for Req. 4-6</t>
        </is>
      </c>
    </row>
    <row r="52" ht="14.25" customHeight="1">
      <c r="A52" t="inlineStr">
        <is>
          <t>Phase 2</t>
        </is>
      </c>
      <c r="B52" t="inlineStr">
        <is>
          <t>Testing</t>
        </is>
      </c>
      <c r="C52" t="inlineStr">
        <is>
          <t>Unit Testing</t>
        </is>
      </c>
      <c r="D52" t="inlineStr">
        <is>
          <t>Complete RPA unit testing</t>
        </is>
      </c>
    </row>
    <row r="53" ht="14.25" customHeight="1">
      <c r="A53" t="inlineStr">
        <is>
          <t>Phase 2</t>
        </is>
      </c>
      <c r="B53" t="inlineStr">
        <is>
          <t>Testing</t>
        </is>
      </c>
      <c r="C53" t="inlineStr">
        <is>
          <t>Unit Testing</t>
        </is>
      </c>
      <c r="D53" t="inlineStr">
        <is>
          <t>Complete SAP interface testing</t>
        </is>
      </c>
    </row>
    <row r="54" ht="14.25" customHeight="1">
      <c r="A54" t="inlineStr">
        <is>
          <t>Phase 2</t>
        </is>
      </c>
      <c r="B54" t="inlineStr">
        <is>
          <t>Testing</t>
        </is>
      </c>
      <c r="C54" t="inlineStr">
        <is>
          <t>Integration Testing</t>
        </is>
      </c>
      <c r="D54" t="inlineStr">
        <is>
          <t>Test FS-RPA integration</t>
        </is>
      </c>
    </row>
    <row r="55" ht="14.25" customHeight="1">
      <c r="A55" t="inlineStr">
        <is>
          <t>Phase 2</t>
        </is>
      </c>
      <c r="B55" t="inlineStr">
        <is>
          <t>Testing</t>
        </is>
      </c>
      <c r="C55" t="inlineStr">
        <is>
          <t>Integration Testing</t>
        </is>
      </c>
      <c r="D55" t="inlineStr">
        <is>
          <t>Test RPA-SAP integration</t>
        </is>
      </c>
    </row>
    <row r="56" ht="14.25" customHeight="1">
      <c r="A56" t="inlineStr">
        <is>
          <t>Phase 2</t>
        </is>
      </c>
      <c r="B56" t="inlineStr">
        <is>
          <t>Testing</t>
        </is>
      </c>
      <c r="C56" t="inlineStr">
        <is>
          <t>Integration Testing</t>
        </is>
      </c>
      <c r="D56" t="inlineStr">
        <is>
          <t>Test FS-SAP integration</t>
        </is>
      </c>
    </row>
    <row r="57" ht="14.25" customHeight="1">
      <c r="A57" t="inlineStr">
        <is>
          <t>Phase 2</t>
        </is>
      </c>
      <c r="B57" t="inlineStr">
        <is>
          <t>Testing</t>
        </is>
      </c>
      <c r="C57" t="inlineStr">
        <is>
          <t>Integration Testing</t>
        </is>
      </c>
      <c r="D57" t="inlineStr">
        <is>
          <t>Test posting and writeback flow</t>
        </is>
      </c>
    </row>
    <row r="58" ht="14.25" customHeight="1">
      <c r="A58" t="inlineStr">
        <is>
          <t>Phase 2</t>
        </is>
      </c>
      <c r="B58" t="inlineStr">
        <is>
          <t>Testing</t>
        </is>
      </c>
      <c r="C58" t="inlineStr">
        <is>
          <t>End-to-End Testing</t>
        </is>
      </c>
      <c r="D58" t="inlineStr">
        <is>
          <t>Execute complete Phase 2 invoice posting scenarios</t>
        </is>
      </c>
    </row>
    <row r="60" ht="14.25" customHeight="1">
      <c r="A60" t="inlineStr">
        <is>
          <t>Phase 2</t>
        </is>
      </c>
      <c r="B60" t="inlineStr">
        <is>
          <t>SIT</t>
        </is>
      </c>
      <c r="C60" t="inlineStr">
        <is>
          <t>SIT Preparation</t>
        </is>
      </c>
      <c r="D60" t="inlineStr">
        <is>
          <t>Prepare Req. 4-6 SIT scenarios</t>
        </is>
      </c>
    </row>
    <row r="61" ht="14.25" customHeight="1">
      <c r="A61" t="inlineStr">
        <is>
          <t>Phase 2</t>
        </is>
      </c>
      <c r="B61" t="inlineStr">
        <is>
          <t>SIT</t>
        </is>
      </c>
      <c r="C61" t="inlineStr">
        <is>
          <t>SIT Preparation</t>
        </is>
      </c>
      <c r="D61" t="inlineStr">
        <is>
          <t>Prepare Phase 2 test invoices</t>
        </is>
      </c>
    </row>
    <row r="62" ht="14.25" customHeight="1">
      <c r="A62" t="inlineStr">
        <is>
          <t>Phase 2</t>
        </is>
      </c>
      <c r="B62" t="inlineStr">
        <is>
          <t>SIT</t>
        </is>
      </c>
      <c r="C62" t="inlineStr">
        <is>
          <t>SIT Preparation</t>
        </is>
      </c>
      <c r="D62" t="inlineStr">
        <is>
          <t>Prepare Phase 2 test data</t>
        </is>
      </c>
    </row>
    <row r="63" ht="14.25" customHeight="1">
      <c r="A63" t="inlineStr">
        <is>
          <t>Phase 2</t>
        </is>
      </c>
      <c r="B63" t="inlineStr">
        <is>
          <t>SIT</t>
        </is>
      </c>
      <c r="C63" t="inlineStr">
        <is>
          <t>SIT Preparation</t>
        </is>
      </c>
      <c r="D63" t="inlineStr">
        <is>
          <t>Prepare SAP posting test data</t>
        </is>
      </c>
    </row>
    <row r="64" ht="14.25" customHeight="1">
      <c r="A64" t="inlineStr">
        <is>
          <t>Phase 2</t>
        </is>
      </c>
      <c r="B64" t="inlineStr">
        <is>
          <t>SIT</t>
        </is>
      </c>
      <c r="C64" t="inlineStr">
        <is>
          <t>SIT Preparation</t>
        </is>
      </c>
      <c r="D64" t="inlineStr">
        <is>
          <t>Prepare expected results</t>
        </is>
      </c>
    </row>
    <row r="65" ht="14.25" customHeight="1">
      <c r="A65" t="inlineStr">
        <is>
          <t>Phase 2</t>
        </is>
      </c>
      <c r="B65" t="inlineStr">
        <is>
          <t>SIT</t>
        </is>
      </c>
      <c r="C65" t="inlineStr">
        <is>
          <t>SIT Deployment</t>
        </is>
      </c>
      <c r="D65" t="inlineStr">
        <is>
          <t>Deploy Phase 2 SIT build</t>
        </is>
      </c>
    </row>
    <row r="66" ht="14.25" customHeight="1">
      <c r="A66" t="inlineStr">
        <is>
          <t>Phase 2</t>
        </is>
      </c>
      <c r="B66" t="inlineStr">
        <is>
          <t>SIT</t>
        </is>
      </c>
      <c r="C66" t="inlineStr">
        <is>
          <t>SIT Deployment</t>
        </is>
      </c>
      <c r="D66" t="inlineStr">
        <is>
          <t>Validate Phase 2 SIT environment</t>
        </is>
      </c>
    </row>
    <row r="68" ht="14.25" customHeight="1">
      <c r="A68" t="inlineStr">
        <is>
          <t>Phase 2</t>
        </is>
      </c>
      <c r="B68" t="inlineStr">
        <is>
          <t>ESSA Testing</t>
        </is>
      </c>
      <c r="C68" t="inlineStr">
        <is>
          <t>ESSA SIT</t>
        </is>
      </c>
      <c r="D68" t="inlineStr">
        <is>
          <t>Execute ESSA Phase 2 test scenarios</t>
        </is>
      </c>
    </row>
    <row r="69" ht="14.25" customHeight="1">
      <c r="A69" t="inlineStr">
        <is>
          <t>Phase 2</t>
        </is>
      </c>
      <c r="B69" t="inlineStr">
        <is>
          <t>ESSA Testing</t>
        </is>
      </c>
      <c r="C69" t="inlineStr">
        <is>
          <t>Defect Management</t>
        </is>
      </c>
      <c r="D69" t="inlineStr">
        <is>
          <t>Log and classify ESSA defects</t>
        </is>
      </c>
    </row>
    <row r="70" ht="14.25" customHeight="1">
      <c r="A70" t="inlineStr">
        <is>
          <t>Phase 2</t>
        </is>
      </c>
      <c r="B70" t="inlineStr">
        <is>
          <t>Development</t>
        </is>
      </c>
      <c r="C70" t="inlineStr">
        <is>
          <t>Defect Fixing</t>
        </is>
      </c>
      <c r="D70" t="inlineStr">
        <is>
          <t>Fix Phase 2 defects</t>
        </is>
      </c>
    </row>
    <row r="71" ht="14.25" customHeight="1">
      <c r="A71" t="inlineStr">
        <is>
          <t>Phase 2</t>
        </is>
      </c>
      <c r="B71" t="inlineStr">
        <is>
          <t>Testing</t>
        </is>
      </c>
      <c r="C71" t="inlineStr">
        <is>
          <t>Regression Testing</t>
        </is>
      </c>
      <c r="D71" t="inlineStr">
        <is>
          <t>Perform regression testing against Phase 1 functionality</t>
        </is>
      </c>
    </row>
    <row r="72" ht="14.25" customHeight="1">
      <c r="A72" t="inlineStr">
        <is>
          <t>Phase 2</t>
        </is>
      </c>
      <c r="B72" t="inlineStr">
        <is>
          <t>ESSA Testing</t>
        </is>
      </c>
      <c r="C72" t="inlineStr">
        <is>
          <t>Retesting</t>
        </is>
      </c>
      <c r="D72" t="inlineStr">
        <is>
          <t>ESSA retesting of resolved defects</t>
        </is>
      </c>
    </row>
    <row r="73" ht="14.25" customHeight="1">
      <c r="A73" t="inlineStr">
        <is>
          <t>Phase 2</t>
        </is>
      </c>
      <c r="B73" t="inlineStr">
        <is>
          <t>Project Management</t>
        </is>
      </c>
      <c r="C73" t="inlineStr">
        <is>
          <t>Phase 2 Closure</t>
        </is>
      </c>
      <c r="D73" t="inlineStr">
        <is>
          <t>Obtain Phase 2 acceptance and sign-off</t>
        </is>
      </c>
    </row>
  </sheetData>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E40"/>
  <sheetViews>
    <sheetView zoomScaleNormal="100" workbookViewId="0">
      <pane ySplit="2" topLeftCell="A23" activePane="bottomLeft" state="frozen"/>
      <selection pane="bottomLeft" activeCell="I33" sqref="I33"/>
    </sheetView>
  </sheetViews>
  <sheetFormatPr baseColWidth="8" defaultColWidth="8.5703125" defaultRowHeight="15"/>
  <cols>
    <col width="30" customWidth="1" min="1" max="1"/>
    <col width="15" customWidth="1" min="2" max="4"/>
    <col width="20" customWidth="1" min="5" max="5"/>
  </cols>
  <sheetData>
    <row r="1" ht="30" customHeight="1">
      <c r="A1" s="222" t="inlineStr">
        <is>
          <t>ESSA EAPA — Development Summary</t>
        </is>
      </c>
    </row>
    <row r="3" ht="19.5" customHeight="1">
      <c r="A3" s="223" t="inlineStr">
        <is>
          <t>STATUS SUMMARY</t>
        </is>
      </c>
      <c r="B3" s="231" t="n"/>
      <c r="C3" s="224" t="inlineStr">
        <is>
          <t>PROGRESS SUMMARY</t>
        </is>
      </c>
      <c r="D3" s="232" t="n"/>
      <c r="E3" s="231" t="n"/>
    </row>
    <row r="4" ht="21.75" customHeight="1">
      <c r="A4" s="46" t="inlineStr">
        <is>
          <t>Total Tasks</t>
        </is>
      </c>
      <c r="B4" s="47" t="n">
        <v>98</v>
      </c>
      <c r="C4" s="46" t="inlineStr">
        <is>
          <t>Overall % Complete</t>
        </is>
      </c>
      <c r="D4" s="48">
        <f>IFERROR(AVERAGE('📦 Delivery Tracker'!L4:L213),0)</f>
        <v/>
      </c>
    </row>
    <row r="5" ht="21.75" customHeight="1">
      <c r="A5" s="49" t="inlineStr">
        <is>
          <t>Completed</t>
        </is>
      </c>
      <c r="B5" s="50">
        <f>COUNTIF('📦 Delivery Tracker'!K4:K213,"Completed")</f>
        <v/>
      </c>
      <c r="C5" s="49" t="inlineStr">
        <is>
          <t>Tasks Remaining</t>
        </is>
      </c>
      <c r="D5" s="51">
        <f>COUNTIF('📦 Delivery Tracker'!K4:K213,"Not Started")+COUNTIF('📦 Delivery Tracker'!K4:K213,"Blocked")</f>
        <v/>
      </c>
    </row>
    <row r="6" ht="21.75" customHeight="1">
      <c r="A6" s="46" t="inlineStr">
        <is>
          <t>In Progress</t>
        </is>
      </c>
      <c r="B6" s="47">
        <f>COUNTIF('📦 Delivery Tracker'!K4:K213,"In Progress")</f>
        <v/>
      </c>
    </row>
    <row r="7" ht="21.75" customHeight="1">
      <c r="A7" s="49" t="inlineStr">
        <is>
          <t>Not Started</t>
        </is>
      </c>
      <c r="B7" s="50">
        <f>COUNTIF('📦 Delivery Tracker'!K4:K213,"Not Started")</f>
        <v/>
      </c>
    </row>
    <row r="8" ht="21.75" customHeight="1">
      <c r="A8" s="46" t="inlineStr">
        <is>
          <t>Blocked</t>
        </is>
      </c>
      <c r="B8" s="47">
        <f>COUNTIF('📦 Delivery Tracker'!K4:K213,"Blocked")</f>
        <v/>
      </c>
    </row>
    <row r="9" ht="21.75" customHeight="1">
      <c r="A9" s="49" t="inlineStr">
        <is>
          <t>On Hold</t>
        </is>
      </c>
      <c r="B9" s="50">
        <f>COUNTIF('📦 Delivery Tracker'!K4:K213,"On Hold")</f>
        <v/>
      </c>
    </row>
    <row r="12" ht="19.5" customHeight="1">
      <c r="A12" s="225" t="inlineStr">
        <is>
          <t>MODULE BREAKDOWN</t>
        </is>
      </c>
      <c r="B12" s="232" t="n"/>
      <c r="C12" s="231" t="n"/>
    </row>
    <row r="13" ht="18" customHeight="1">
      <c r="A13" s="52" t="inlineStr">
        <is>
          <t>Module</t>
        </is>
      </c>
      <c r="B13" s="52" t="inlineStr">
        <is>
          <t>Tasks</t>
        </is>
      </c>
      <c r="C13" s="52" t="inlineStr">
        <is>
          <t>Completed</t>
        </is>
      </c>
    </row>
    <row r="14" ht="18" customHeight="1">
      <c r="A14" s="53" t="inlineStr">
        <is>
          <t>Application Foundation</t>
        </is>
      </c>
      <c r="B14" s="54" t="n">
        <v>2</v>
      </c>
      <c r="C14" s="54" t="n">
        <v>1</v>
      </c>
    </row>
    <row r="15" ht="18" customHeight="1">
      <c r="A15" s="55" t="inlineStr">
        <is>
          <t>Authentication &amp; Access</t>
        </is>
      </c>
      <c r="B15" s="56" t="n">
        <v>3</v>
      </c>
      <c r="C15" s="56" t="n">
        <v>3</v>
      </c>
    </row>
    <row r="16" ht="18" customHeight="1">
      <c r="A16" s="57" t="inlineStr">
        <is>
          <t>Admin &amp; Configuration</t>
        </is>
      </c>
      <c r="B16" s="58" t="n">
        <v>8</v>
      </c>
      <c r="C16" s="58" t="n">
        <v>0</v>
      </c>
    </row>
    <row r="17" ht="18" customHeight="1">
      <c r="A17" s="59" t="inlineStr">
        <is>
          <t>Invoice Ingestion</t>
        </is>
      </c>
      <c r="B17" s="60" t="n">
        <v>7</v>
      </c>
      <c r="C17" s="60" t="n">
        <v>0</v>
      </c>
    </row>
    <row r="18" ht="18" customHeight="1">
      <c r="A18" s="61" t="inlineStr">
        <is>
          <t>Vendor Communication</t>
        </is>
      </c>
      <c r="B18" s="62" t="n">
        <v>4</v>
      </c>
      <c r="C18" s="62" t="n">
        <v>0</v>
      </c>
    </row>
    <row r="19" ht="18" customHeight="1">
      <c r="A19" s="63" t="inlineStr">
        <is>
          <t>Document Management</t>
        </is>
      </c>
      <c r="B19" s="64" t="n">
        <v>3</v>
      </c>
      <c r="C19" s="64" t="n">
        <v>0</v>
      </c>
    </row>
    <row r="20" ht="18" customHeight="1">
      <c r="A20" s="65" t="inlineStr">
        <is>
          <t>Invoice Processing Orchestration</t>
        </is>
      </c>
      <c r="B20" s="66" t="n">
        <v>4</v>
      </c>
      <c r="C20" s="66" t="n">
        <v>0</v>
      </c>
    </row>
    <row r="21" ht="18" customHeight="1">
      <c r="A21" s="67" t="inlineStr">
        <is>
          <t>Azure OpenAI Processing</t>
        </is>
      </c>
      <c r="B21" s="68" t="n">
        <v>5</v>
      </c>
      <c r="C21" s="68" t="n">
        <v>0</v>
      </c>
    </row>
    <row r="22" ht="18" customHeight="1">
      <c r="A22" s="69" t="inlineStr">
        <is>
          <t>HITL / Extraction Review</t>
        </is>
      </c>
      <c r="B22" s="70" t="n">
        <v>3</v>
      </c>
      <c r="C22" s="70" t="n">
        <v>0</v>
      </c>
    </row>
    <row r="23" ht="18" customHeight="1">
      <c r="A23" s="71" t="inlineStr">
        <is>
          <t>Core Validation Engine</t>
        </is>
      </c>
      <c r="B23" s="72" t="n">
        <v>7</v>
      </c>
      <c r="C23" s="72" t="n">
        <v>0</v>
      </c>
    </row>
    <row r="24" ht="18" customHeight="1">
      <c r="A24" s="73" t="inlineStr">
        <is>
          <t>Exception Management</t>
        </is>
      </c>
      <c r="B24" s="74" t="n">
        <v>2</v>
      </c>
      <c r="C24" s="74" t="n">
        <v>0</v>
      </c>
    </row>
    <row r="25" ht="18" customHeight="1">
      <c r="A25" s="75" t="inlineStr">
        <is>
          <t>Category-Specific Processing</t>
        </is>
      </c>
      <c r="B25" s="76" t="n">
        <v>7</v>
      </c>
      <c r="C25" s="76" t="n">
        <v>0</v>
      </c>
    </row>
    <row r="26" ht="18" customHeight="1">
      <c r="A26" s="53" t="inlineStr">
        <is>
          <t>Financial Adjustments &amp; Tax</t>
        </is>
      </c>
      <c r="B26" s="54" t="n">
        <v>3</v>
      </c>
      <c r="C26" s="54" t="n">
        <v>0</v>
      </c>
    </row>
    <row r="27" ht="18" customHeight="1">
      <c r="A27" s="55" t="inlineStr">
        <is>
          <t>Vendor Controls</t>
        </is>
      </c>
      <c r="B27" s="56" t="n">
        <v>2</v>
      </c>
      <c r="C27" s="56" t="n">
        <v>0</v>
      </c>
    </row>
    <row r="28" ht="18" customHeight="1">
      <c r="A28" s="53" t="inlineStr">
        <is>
          <t>Biometric Integration</t>
        </is>
      </c>
      <c r="B28" s="54" t="n">
        <v>2</v>
      </c>
      <c r="C28" s="54" t="n">
        <v>0</v>
      </c>
    </row>
    <row r="29" ht="18" customHeight="1">
      <c r="A29" s="55" t="inlineStr">
        <is>
          <t>Workflow &amp; Approval</t>
        </is>
      </c>
      <c r="B29" s="56" t="n">
        <v>6</v>
      </c>
      <c r="C29" s="56" t="n">
        <v>0</v>
      </c>
    </row>
    <row r="30" ht="18" customHeight="1">
      <c r="A30" s="57" t="inlineStr">
        <is>
          <t>SLA &amp; Notifications</t>
        </is>
      </c>
      <c r="B30" s="58" t="n">
        <v>3</v>
      </c>
      <c r="C30" s="58" t="n">
        <v>0</v>
      </c>
    </row>
    <row r="31" ht="18" customHeight="1">
      <c r="A31" s="59" t="inlineStr">
        <is>
          <t>SAP Reference Data Integration</t>
        </is>
      </c>
      <c r="B31" s="60" t="n">
        <v>5</v>
      </c>
      <c r="C31" s="60" t="n">
        <v>0</v>
      </c>
    </row>
    <row r="32" ht="18" customHeight="1">
      <c r="A32" s="61" t="inlineStr">
        <is>
          <t>SAP Parking / RPA</t>
        </is>
      </c>
      <c r="B32" s="62" t="n">
        <v>7</v>
      </c>
      <c r="C32" s="62" t="n">
        <v>0</v>
      </c>
    </row>
    <row r="33" ht="18" customHeight="1">
      <c r="A33" s="63" t="inlineStr">
        <is>
          <t>SAP Extraction</t>
        </is>
      </c>
      <c r="B33" s="64" t="n">
        <v>6</v>
      </c>
      <c r="C33" s="64" t="n">
        <v>0</v>
      </c>
    </row>
    <row r="34" ht="18" customHeight="1">
      <c r="A34" s="65" t="inlineStr">
        <is>
          <t>Dashboard &amp; Reporting</t>
        </is>
      </c>
      <c r="B34" s="66" t="n">
        <v>3</v>
      </c>
      <c r="C34" s="66" t="n">
        <v>0</v>
      </c>
    </row>
    <row r="35" ht="18" customHeight="1">
      <c r="A35" s="67" t="inlineStr">
        <is>
          <t>Audit, Logging &amp; Monitoring</t>
        </is>
      </c>
      <c r="B35" s="68" t="n">
        <v>3</v>
      </c>
      <c r="C35" s="68" t="n">
        <v>0</v>
      </c>
    </row>
    <row r="36" ht="18" customHeight="1">
      <c r="A36" s="69" t="inlineStr">
        <is>
          <t>Security &amp; API Controls</t>
        </is>
      </c>
      <c r="B36" s="70" t="n">
        <v>3</v>
      </c>
      <c r="C36" s="70" t="n">
        <v>0</v>
      </c>
    </row>
    <row r="37" ht="18" customHeight="1">
      <c r="A37" s="71" t="inlineStr">
        <is>
          <t>Email Template Config</t>
        </is>
      </c>
      <c r="B37" s="72" t="n">
        <v>1</v>
      </c>
      <c r="C37" s="72" t="n">
        <v>0</v>
      </c>
    </row>
    <row r="38" ht="18" customHeight="1">
      <c r="A38" s="73" t="inlineStr">
        <is>
          <t>Scheduler &amp; Reliability</t>
        </is>
      </c>
      <c r="B38" s="74" t="n">
        <v>1</v>
      </c>
      <c r="C38" s="74" t="n">
        <v>0</v>
      </c>
    </row>
    <row r="40">
      <c r="C40" t="inlineStr">
        <is>
          <t> </t>
        </is>
      </c>
    </row>
  </sheetData>
  <mergeCells count="4">
    <mergeCell ref="A12:C12"/>
    <mergeCell ref="A3:B3"/>
    <mergeCell ref="C3:E3"/>
    <mergeCell ref="A1:E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E37"/>
  <sheetViews>
    <sheetView zoomScaleNormal="100" workbookViewId="0">
      <selection activeCell="D11" sqref="D11"/>
    </sheetView>
  </sheetViews>
  <sheetFormatPr baseColWidth="8" defaultColWidth="8.5703125" defaultRowHeight="15"/>
  <cols>
    <col width="4.5703125" customWidth="1" style="77" min="1" max="1"/>
    <col width="13.42578125" customWidth="1" style="77" min="2" max="2"/>
    <col width="10.140625" customWidth="1" style="77" min="3" max="3"/>
    <col width="70.42578125" customWidth="1" style="77" min="4" max="4"/>
    <col width="19.5703125" customWidth="1" min="5" max="5"/>
  </cols>
  <sheetData>
    <row r="1" ht="14.25" customHeight="1">
      <c r="A1" s="78" t="inlineStr">
        <is>
          <t>#</t>
        </is>
      </c>
      <c r="B1" s="78" t="inlineStr">
        <is>
          <t>Status</t>
        </is>
      </c>
      <c r="C1" s="78" t="inlineStr">
        <is>
          <t>Applies To</t>
        </is>
      </c>
      <c r="D1" s="78" t="inlineStr">
        <is>
          <t>When to Use</t>
        </is>
      </c>
      <c r="E1" s="78" t="inlineStr">
        <is>
          <t>Team Responsible</t>
        </is>
      </c>
    </row>
    <row r="2" ht="14.25" customHeight="1">
      <c r="A2" s="3" t="n">
        <v>1</v>
      </c>
      <c r="B2" s="78" t="inlineStr">
        <is>
          <t>Not Started</t>
        </is>
      </c>
      <c r="C2" s="3" t="inlineStr">
        <is>
          <t>FS + RPA</t>
        </is>
      </c>
      <c r="D2" s="3" t="inlineStr">
        <is>
          <t>Task not yet begun</t>
        </is>
      </c>
      <c r="E2" s="3" t="inlineStr">
        <is>
          <t>Rahul, Sabrina</t>
        </is>
      </c>
    </row>
    <row r="3" ht="14.25" customHeight="1">
      <c r="A3" s="3" t="n">
        <v>2</v>
      </c>
      <c r="B3" s="78" t="inlineStr">
        <is>
          <t>In Progress</t>
        </is>
      </c>
      <c r="C3" s="3" t="inlineStr">
        <is>
          <t>FS + RPA</t>
        </is>
      </c>
      <c r="D3" s="3" t="inlineStr">
        <is>
          <t>Actively being worked on</t>
        </is>
      </c>
      <c r="E3" s="3" t="inlineStr">
        <is>
          <t>Rahul</t>
        </is>
      </c>
    </row>
    <row r="4" ht="14.25" customHeight="1">
      <c r="A4" s="3" t="n">
        <v>3</v>
      </c>
      <c r="B4" s="78" t="inlineStr">
        <is>
          <t>Dev Complete</t>
        </is>
      </c>
      <c r="C4" s="3" t="inlineStr">
        <is>
          <t>FS + RPA</t>
        </is>
      </c>
      <c r="D4" s="3" t="inlineStr">
        <is>
          <t>Development done — FE + BE + RPA flow fully built. Ready for internal testing</t>
        </is>
      </c>
      <c r="E4" s="3" t="inlineStr">
        <is>
          <t>Sabrina</t>
        </is>
      </c>
    </row>
    <row r="5" ht="14.25" customHeight="1">
      <c r="A5" s="3" t="n">
        <v>4</v>
      </c>
      <c r="B5" s="78" t="inlineStr">
        <is>
          <t>Code Review</t>
        </is>
      </c>
      <c r="C5" s="3" t="inlineStr">
        <is>
          <t>FS</t>
        </is>
      </c>
      <c r="D5" s="3" t="inlineStr">
        <is>
          <t>Code submitted for peer review before merge</t>
        </is>
      </c>
      <c r="E5" s="3" t="inlineStr">
        <is>
          <t>Suganth</t>
        </is>
      </c>
    </row>
    <row r="6" ht="14.25" customHeight="1">
      <c r="A6" s="3" t="n">
        <v>5</v>
      </c>
      <c r="B6" s="78" t="inlineStr">
        <is>
          <t>Bot Testing</t>
        </is>
      </c>
      <c r="C6" s="3" t="inlineStr">
        <is>
          <t>RPA</t>
        </is>
      </c>
      <c r="D6" s="3" t="inlineStr">
        <is>
          <t>RPA bot flow built and being tested locally against SAP Dev by Natheera</t>
        </is>
      </c>
      <c r="E6" s="3" t="inlineStr">
        <is>
          <t>Khalid</t>
        </is>
      </c>
    </row>
    <row r="7" ht="14.25" customHeight="1">
      <c r="A7" s="3" t="n">
        <v>6</v>
      </c>
      <c r="B7" s="78" t="inlineStr">
        <is>
          <t>Fixed</t>
        </is>
      </c>
      <c r="C7" s="3" t="inlineStr">
        <is>
          <t>FS + RPA</t>
        </is>
      </c>
      <c r="D7" s="3" t="inlineStr">
        <is>
          <t>Bug or defect fixed — awaiting retest</t>
        </is>
      </c>
      <c r="E7" s="3" t="inlineStr">
        <is>
          <t>Robinson</t>
        </is>
      </c>
    </row>
    <row r="8" ht="14.25" customHeight="1">
      <c r="A8" s="3" t="n">
        <v>7</v>
      </c>
      <c r="B8" s="78" t="inlineStr">
        <is>
          <t>Blocked</t>
        </is>
      </c>
      <c r="C8" s="3" t="inlineStr">
        <is>
          <t>FS + RPA</t>
        </is>
      </c>
      <c r="D8" s="3" t="inlineStr">
        <is>
          <t>Cannot proceed — blocker in Blocker column</t>
        </is>
      </c>
      <c r="E8" s="3" t="inlineStr">
        <is>
          <t>Anas</t>
        </is>
      </c>
    </row>
    <row r="9" ht="28.5" customHeight="1">
      <c r="A9" s="3" t="n">
        <v>8</v>
      </c>
      <c r="B9" s="78" t="inlineStr">
        <is>
          <t>Awaiting ESSA Input</t>
        </is>
      </c>
      <c r="C9" s="3" t="inlineStr">
        <is>
          <t>FS + RPA</t>
        </is>
      </c>
      <c r="D9" s="3" t="inlineStr">
        <is>
          <t>Dev ready to proceed but waiting for ESSA confirmation/input/access</t>
        </is>
      </c>
      <c r="E9" s="3" t="inlineStr">
        <is>
          <t>Robinson, Anas, Pranay</t>
        </is>
      </c>
    </row>
    <row r="10" ht="14.25" customHeight="1">
      <c r="A10" s="3" t="n">
        <v>9</v>
      </c>
      <c r="B10" s="78" t="inlineStr">
        <is>
          <t>On Hold</t>
        </is>
      </c>
      <c r="C10" s="3" t="inlineStr">
        <is>
          <t>FS + RPA</t>
        </is>
      </c>
      <c r="D10" s="3" t="inlineStr">
        <is>
          <t>Deliberately paused — dependency or decision pending</t>
        </is>
      </c>
      <c r="E10" s="3" t="inlineStr">
        <is>
          <t>Natheera</t>
        </is>
      </c>
    </row>
    <row r="11" ht="28.5" customHeight="1">
      <c r="A11" s="3" t="n">
        <v>10</v>
      </c>
      <c r="B11" s="78" t="inlineStr">
        <is>
          <t>Integration Testing</t>
        </is>
      </c>
      <c r="C11" s="3" t="inlineStr">
        <is>
          <t>FS + RPA</t>
        </is>
      </c>
      <c r="D11" s="3" t="inlineStr">
        <is>
          <t>End-to-end integration testing between FE, BE, RPA and SAP</t>
        </is>
      </c>
      <c r="E11" s="3" t="inlineStr">
        <is>
          <t>ESSA</t>
        </is>
      </c>
    </row>
    <row r="12" ht="28.5" customHeight="1">
      <c r="A12" s="3" t="n">
        <v>11</v>
      </c>
      <c r="B12" s="78" t="inlineStr">
        <is>
          <t>Integration Failed</t>
        </is>
      </c>
      <c r="C12" s="3" t="inlineStr">
        <is>
          <t>FS + RPA</t>
        </is>
      </c>
      <c r="D12" s="3" t="inlineStr">
        <is>
          <t>Integration testing raised issues — back to fix</t>
        </is>
      </c>
      <c r="E12" t="inlineStr">
        <is>
          <t>Rahul, Sabrina</t>
        </is>
      </c>
    </row>
    <row r="13" ht="14.25" customHeight="1">
      <c r="A13" s="3" t="n">
        <v>12</v>
      </c>
      <c r="B13" s="78" t="inlineStr">
        <is>
          <t>SIT</t>
        </is>
      </c>
      <c r="C13" s="3" t="inlineStr">
        <is>
          <t>FS + RPA</t>
        </is>
      </c>
      <c r="D13" s="3" t="inlineStr">
        <is>
          <t>System Integration Testing in progress</t>
        </is>
      </c>
      <c r="E13" t="inlineStr">
        <is>
          <t>Pranay</t>
        </is>
      </c>
    </row>
    <row r="14" ht="28.5" customHeight="1">
      <c r="A14" s="3" t="n">
        <v>13</v>
      </c>
      <c r="B14" s="78" t="inlineStr">
        <is>
          <t>SIT Failed</t>
        </is>
      </c>
      <c r="C14" s="3" t="inlineStr">
        <is>
          <t>FS + RPA</t>
        </is>
      </c>
      <c r="D14" s="3" t="inlineStr">
        <is>
          <t>SIT defects raised — back to dev for fix</t>
        </is>
      </c>
      <c r="E14" s="3" t="inlineStr">
        <is>
          <t>SIT defects raised — back to dev for fix</t>
        </is>
      </c>
    </row>
    <row r="15" ht="14.25" customHeight="1">
      <c r="A15" s="3" t="n">
        <v>14</v>
      </c>
      <c r="B15" s="78" t="inlineStr">
        <is>
          <t>UAT</t>
        </is>
      </c>
      <c r="C15" s="3" t="inlineStr">
        <is>
          <t>FS + RPA</t>
        </is>
      </c>
      <c r="D15" s="3" t="inlineStr">
        <is>
          <t>In User Acceptance Testing by ESSA</t>
        </is>
      </c>
    </row>
    <row r="16" ht="14.25" customHeight="1">
      <c r="A16" s="3" t="n">
        <v>15</v>
      </c>
      <c r="B16" s="78" t="inlineStr">
        <is>
          <t>UAT Failed</t>
        </is>
      </c>
      <c r="C16" s="3" t="inlineStr">
        <is>
          <t>FS + RPA</t>
        </is>
      </c>
      <c r="D16" s="3" t="inlineStr">
        <is>
          <t>UAT defects raised — back to dev for fix</t>
        </is>
      </c>
    </row>
    <row r="17" ht="14.25" customHeight="1">
      <c r="A17" s="3" t="n">
        <v>16</v>
      </c>
      <c r="B17" s="78" t="inlineStr">
        <is>
          <t>Completed</t>
        </is>
      </c>
      <c r="C17" s="3" t="inlineStr">
        <is>
          <t>FS + RPA</t>
        </is>
      </c>
      <c r="D17" s="3" t="inlineStr">
        <is>
          <t>Fully done — tested, signed off, closed</t>
        </is>
      </c>
    </row>
    <row r="18" ht="14.25" customHeight="1">
      <c r="A18" s="77" t="n">
        <v>17</v>
      </c>
      <c r="B18" s="79" t="inlineStr">
        <is>
          <t>FE Done</t>
        </is>
      </c>
      <c r="C18" s="77" t="inlineStr">
        <is>
          <t>FS</t>
        </is>
      </c>
      <c r="D18" s="77" t="inlineStr">
        <is>
          <t>Front end done</t>
        </is>
      </c>
    </row>
    <row r="19" ht="14.25" customHeight="1">
      <c r="A19" s="77" t="n">
        <v>17</v>
      </c>
      <c r="B19" s="79" t="inlineStr">
        <is>
          <t>BE Done</t>
        </is>
      </c>
      <c r="C19" s="77" t="inlineStr">
        <is>
          <t>FS</t>
        </is>
      </c>
      <c r="D19" s="77" t="inlineStr">
        <is>
          <t>Backend done</t>
        </is>
      </c>
    </row>
    <row r="20" ht="14.25" customHeight="1">
      <c r="A20" s="79" t="inlineStr">
        <is>
          <t>Lifecycle Flow — Visual</t>
        </is>
      </c>
    </row>
    <row r="22" ht="14.25" customHeight="1">
      <c r="A22" s="80" t="inlineStr">
        <is>
          <t>Not Started</t>
        </is>
      </c>
    </row>
    <row r="23" ht="14.25" customHeight="1">
      <c r="A23" s="80" t="inlineStr">
        <is>
          <t xml:space="preserve">    ↓</t>
        </is>
      </c>
    </row>
    <row r="24" ht="14.25" customHeight="1">
      <c r="A24" s="80" t="inlineStr">
        <is>
          <t>In Progress</t>
        </is>
      </c>
    </row>
    <row r="25" ht="14.25" customHeight="1">
      <c r="A25" s="80" t="inlineStr">
        <is>
          <t xml:space="preserve">    ↓</t>
        </is>
      </c>
    </row>
    <row r="26" ht="14.25" customHeight="1">
      <c r="A26" s="80" t="inlineStr">
        <is>
          <t>Dev Complete ──────────────────────────────────────────────────→ Fixed (if bug)</t>
        </is>
      </c>
    </row>
    <row r="27" ht="14.25" customHeight="1">
      <c r="A27" s="80" t="inlineStr">
        <is>
          <t xml:space="preserve">    ↓                                                                  ↑</t>
        </is>
      </c>
    </row>
    <row r="28" ht="14.25" customHeight="1">
      <c r="A28" s="80" t="inlineStr">
        <is>
          <t>Code Review (FS) / Bot Testing (RPA)                                   │</t>
        </is>
      </c>
    </row>
    <row r="29" ht="14.25" customHeight="1">
      <c r="A29" s="80" t="inlineStr">
        <is>
          <t xml:space="preserve">    ↓                                                                  │</t>
        </is>
      </c>
    </row>
    <row r="30" ht="14.25" customHeight="1">
      <c r="A30" s="80" t="inlineStr">
        <is>
          <t>Integration Testing ─────────────────────────────────────── Integration Failed</t>
        </is>
      </c>
    </row>
    <row r="31" ht="14.25" customHeight="1">
      <c r="A31" s="80" t="inlineStr">
        <is>
          <t xml:space="preserve">    ↓                                                                  ↑</t>
        </is>
      </c>
    </row>
    <row r="32" ht="14.25" customHeight="1">
      <c r="A32" s="80" t="inlineStr">
        <is>
          <t>SIT ──────────────────────────────────────────────────────── SIT Failed</t>
        </is>
      </c>
    </row>
    <row r="33" ht="14.25" customHeight="1">
      <c r="A33" s="80" t="inlineStr">
        <is>
          <t xml:space="preserve">    ↓                                                                  ↑</t>
        </is>
      </c>
    </row>
    <row r="34" ht="14.25" customHeight="1">
      <c r="A34" s="80" t="inlineStr">
        <is>
          <t>UAT ──────────────────────────────────────────────────────── UAT Failed</t>
        </is>
      </c>
    </row>
    <row r="35" ht="14.25" customHeight="1">
      <c r="A35" s="80" t="inlineStr">
        <is>
          <t xml:space="preserve">    ↓</t>
        </is>
      </c>
    </row>
    <row r="36" ht="14.25" customHeight="1">
      <c r="A36" s="80" t="inlineStr">
        <is>
          <t>Completed</t>
        </is>
      </c>
    </row>
    <row r="37" ht="14.25" customHeight="1">
      <c r="A37" s="81" t="n"/>
    </row>
  </sheetData>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sheetPr filterMode="1">
    <outlinePr summaryBelow="1" summaryRight="1"/>
    <pageSetUpPr/>
  </sheetPr>
  <dimension ref="A1:O116"/>
  <sheetViews>
    <sheetView topLeftCell="B1" zoomScaleNormal="100" workbookViewId="0">
      <pane ySplit="3" topLeftCell="A4" activePane="bottomLeft" state="frozen"/>
      <selection pane="bottomLeft" activeCell="D39" sqref="D39"/>
      <selection activeCell="B1" sqref="B1"/>
    </sheetView>
  </sheetViews>
  <sheetFormatPr baseColWidth="8" defaultColWidth="8.5703125" defaultRowHeight="15"/>
  <cols>
    <col width="5" customWidth="1" min="1" max="1"/>
    <col width="28" customWidth="1" min="2" max="3"/>
    <col width="32" customWidth="1" min="4" max="4"/>
    <col width="28" customWidth="1" min="5" max="5"/>
    <col width="14" customWidth="1" min="6" max="11"/>
    <col width="10" customWidth="1" min="12" max="13"/>
    <col width="28" customWidth="1" min="14" max="15"/>
  </cols>
  <sheetData>
    <row r="1" ht="30" customHeight="1">
      <c r="A1" s="222" t="inlineStr">
        <is>
          <t>ESSA EAPA — Development Delivery Tracker | Task-Level</t>
        </is>
      </c>
    </row>
    <row r="2" ht="15.75" customHeight="1">
      <c r="A2" s="226" t="inlineStr">
        <is>
          <t>Each row = one deliverable task. Update Status, % Complete, Actual dates and Remarks weekly. Blocker column must be filled when status = Blocked.</t>
        </is>
      </c>
    </row>
    <row r="3" ht="30" customHeight="1">
      <c r="A3" s="27" t="inlineStr">
        <is>
          <t>#</t>
        </is>
      </c>
      <c r="B3" s="27" t="inlineStr">
        <is>
          <t>Module</t>
        </is>
      </c>
      <c r="C3" s="27" t="inlineStr">
        <is>
          <t>Sub-Module</t>
        </is>
      </c>
      <c r="D3" s="27" t="inlineStr">
        <is>
          <t>Task / Deliverable</t>
        </is>
      </c>
      <c r="E3" s="27" t="inlineStr">
        <is>
          <t>Scope / Completion Criteria</t>
        </is>
      </c>
      <c r="F3" s="27" t="inlineStr">
        <is>
          <t>Planned Start</t>
        </is>
      </c>
      <c r="G3" s="27" t="inlineStr">
        <is>
          <t>Planned End</t>
        </is>
      </c>
      <c r="H3" s="27" t="inlineStr">
        <is>
          <t>Actual Start</t>
        </is>
      </c>
      <c r="I3" s="27" t="inlineStr">
        <is>
          <t>Actual End</t>
        </is>
      </c>
      <c r="J3" s="27" t="inlineStr">
        <is>
          <t>Assignee</t>
        </is>
      </c>
      <c r="K3" s="27" t="inlineStr">
        <is>
          <t>Status</t>
        </is>
      </c>
      <c r="L3" s="27" t="inlineStr">
        <is>
          <t>% Done</t>
        </is>
      </c>
      <c r="M3" s="27" t="inlineStr">
        <is>
          <t>Layer</t>
        </is>
      </c>
      <c r="N3" s="27" t="inlineStr">
        <is>
          <t>Blocker / Pending Input</t>
        </is>
      </c>
      <c r="O3" s="27" t="inlineStr">
        <is>
          <t>Remarks</t>
        </is>
      </c>
    </row>
    <row r="4" hidden="1" ht="31.5" customHeight="1">
      <c r="A4" s="82" t="n">
        <v>1</v>
      </c>
      <c r="B4" s="30" t="inlineStr">
        <is>
          <t>Application Foundation</t>
        </is>
      </c>
      <c r="C4" s="31" t="inlineStr">
        <is>
          <t>Application Codebase</t>
        </is>
      </c>
      <c r="D4" s="31" t="inlineStr">
        <is>
          <t>React, Node.js/TypeScript &amp; PostgreSQL app foundation</t>
        </is>
      </c>
      <c r="E4" s="83" t="inlineStr">
        <is>
          <t>Establish React FE, Node.js/TS BE, common API patterns, shared libraries, PostgreSQL connectivity, migrations and transaction baseline.</t>
        </is>
      </c>
      <c r="F4" s="54" t="inlineStr">
        <is>
          <t>31-Aug-26</t>
        </is>
      </c>
      <c r="G4" s="54" t="inlineStr">
        <is>
          <t>04-Sep-26</t>
        </is>
      </c>
      <c r="H4" s="54" t="inlineStr">
        <is>
          <t>31-Aug-26</t>
        </is>
      </c>
      <c r="I4" s="54" t="inlineStr">
        <is>
          <t>31-Aug-26</t>
        </is>
      </c>
      <c r="J4" s="84" t="inlineStr">
        <is>
          <t>Rahul</t>
        </is>
      </c>
      <c r="K4" s="85" t="inlineStr">
        <is>
          <t>Completed</t>
        </is>
      </c>
      <c r="L4" s="82" t="inlineStr">
        <is>
          <t>100%</t>
        </is>
      </c>
      <c r="M4" s="86" t="inlineStr">
        <is>
          <t>FE + BE + DB</t>
        </is>
      </c>
      <c r="N4" s="83" t="n"/>
      <c r="O4" s="83" t="n"/>
    </row>
    <row r="5" hidden="1" ht="31.5" customHeight="1">
      <c r="A5" s="82" t="n">
        <v>2</v>
      </c>
      <c r="B5" s="30" t="inlineStr">
        <is>
          <t>Application Foundation</t>
        </is>
      </c>
      <c r="C5" s="31" t="inlineStr">
        <is>
          <t>Environment &amp; Delivery</t>
        </is>
      </c>
      <c r="D5" s="31" t="inlineStr">
        <is>
          <t>Env. config, CI/CD and deployment baseline</t>
        </is>
      </c>
      <c r="E5" s="83" t="inlineStr">
        <is>
          <t>Externalize env settings/secrets, build/deployment pipeline, DB migration promotion and versioned artifact deployment for DEV/UAT/PROD.</t>
        </is>
      </c>
      <c r="F5" s="54" t="inlineStr">
        <is>
          <t>07-Sep-26</t>
        </is>
      </c>
      <c r="G5" s="54" t="inlineStr">
        <is>
          <t>14-Sep-26</t>
        </is>
      </c>
      <c r="H5" s="54" t="n"/>
      <c r="I5" s="54" t="n"/>
      <c r="J5" s="87" t="n"/>
      <c r="K5" s="88" t="inlineStr">
        <is>
          <t>Not Started</t>
        </is>
      </c>
      <c r="L5" s="82" t="inlineStr">
        <is>
          <t>0%</t>
        </is>
      </c>
      <c r="M5" s="89" t="inlineStr">
        <is>
          <t>BE + Integration</t>
        </is>
      </c>
      <c r="N5" s="83" t="n"/>
      <c r="O5" s="83" t="n"/>
    </row>
    <row r="6" hidden="1" ht="31.5" customHeight="1">
      <c r="A6" s="82" t="n">
        <v>3</v>
      </c>
      <c r="B6" s="90" t="inlineStr">
        <is>
          <t>Authentication &amp; Access</t>
        </is>
      </c>
      <c r="C6" s="91" t="inlineStr">
        <is>
          <t>SSO — POC</t>
        </is>
      </c>
      <c r="D6" s="91" t="inlineStr">
        <is>
          <t>SAP SSO POC</t>
        </is>
      </c>
      <c r="E6" s="91" t="inlineStr">
        <is>
          <t>SAP SSO POC</t>
        </is>
      </c>
      <c r="F6" s="92" t="n">
        <v>46254</v>
      </c>
      <c r="G6" s="92" t="n">
        <v>46255</v>
      </c>
      <c r="H6" s="92" t="n">
        <v>46254</v>
      </c>
      <c r="I6" s="92" t="n">
        <v>46255</v>
      </c>
      <c r="J6" s="84" t="inlineStr">
        <is>
          <t>Rahul</t>
        </is>
      </c>
      <c r="K6" s="85" t="inlineStr">
        <is>
          <t>Completed</t>
        </is>
      </c>
      <c r="L6" s="82" t="inlineStr">
        <is>
          <t>100%</t>
        </is>
      </c>
      <c r="M6" s="89" t="inlineStr">
        <is>
          <t>BE + FE</t>
        </is>
      </c>
      <c r="N6" s="83" t="n"/>
      <c r="O6" s="83" t="n"/>
    </row>
    <row r="7" hidden="1" ht="31.5" customHeight="1">
      <c r="A7" s="82" t="n">
        <v>3</v>
      </c>
      <c r="B7" s="90" t="inlineStr">
        <is>
          <t>Authentication &amp; Access</t>
        </is>
      </c>
      <c r="C7" s="91" t="inlineStr">
        <is>
          <t>SSO — POC</t>
        </is>
      </c>
      <c r="D7" s="91" t="inlineStr">
        <is>
          <t>Microsoft Entra ID SSO POC</t>
        </is>
      </c>
      <c r="E7" s="93" t="inlineStr">
        <is>
          <t>POC for SSO integration with Entra ID.</t>
        </is>
      </c>
      <c r="F7" s="92" t="n">
        <v>46258</v>
      </c>
      <c r="G7" s="92" t="n">
        <v>46260</v>
      </c>
      <c r="H7" s="92" t="n">
        <v>46258</v>
      </c>
      <c r="I7" s="92" t="n">
        <v>46260</v>
      </c>
      <c r="J7" s="84" t="inlineStr">
        <is>
          <t>Rahul</t>
        </is>
      </c>
      <c r="K7" s="85" t="inlineStr">
        <is>
          <t>Completed</t>
        </is>
      </c>
      <c r="L7" s="82" t="inlineStr">
        <is>
          <t>100%</t>
        </is>
      </c>
      <c r="M7" s="89" t="inlineStr">
        <is>
          <t>BE + FE</t>
        </is>
      </c>
      <c r="N7" s="94" t="n"/>
      <c r="O7" s="94" t="n"/>
    </row>
    <row r="8" hidden="1" ht="31.5" customHeight="1">
      <c r="A8" s="82" t="n">
        <v>4</v>
      </c>
      <c r="B8" s="90" t="inlineStr">
        <is>
          <t>Authentication &amp; Access</t>
        </is>
      </c>
      <c r="C8" s="91" t="inlineStr">
        <is>
          <t>SSO &amp; Session</t>
        </is>
      </c>
      <c r="D8" s="91" t="inlineStr">
        <is>
          <t>Direct Portal Entry with SAP SSO</t>
        </is>
      </c>
      <c r="E8" s="93" t="inlineStr">
        <is>
          <t>Support approved application launch paths through the Launchpad and direct portal URL, with appropriate access validation.</t>
        </is>
      </c>
      <c r="F8" s="92" t="n">
        <v>46258</v>
      </c>
      <c r="G8" s="92" t="n">
        <v>46260</v>
      </c>
      <c r="H8" s="92" t="n">
        <v>46258</v>
      </c>
      <c r="I8" s="92" t="n">
        <v>46260</v>
      </c>
      <c r="J8" s="84" t="inlineStr">
        <is>
          <t>Rahul</t>
        </is>
      </c>
      <c r="K8" s="85" t="inlineStr">
        <is>
          <t>Completed</t>
        </is>
      </c>
      <c r="L8" s="82" t="inlineStr">
        <is>
          <t>100%</t>
        </is>
      </c>
      <c r="M8" s="89" t="inlineStr">
        <is>
          <t>BE + FE</t>
        </is>
      </c>
      <c r="N8" s="83" t="n"/>
      <c r="O8" s="83" t="n"/>
    </row>
    <row r="9" hidden="1" ht="31.5" customHeight="1">
      <c r="A9" s="82" t="n">
        <v>4</v>
      </c>
      <c r="B9" s="90" t="inlineStr">
        <is>
          <t>Authentication &amp; Access</t>
        </is>
      </c>
      <c r="C9" s="91" t="inlineStr">
        <is>
          <t>SSO &amp; Session</t>
        </is>
      </c>
      <c r="D9" s="91" t="inlineStr">
        <is>
          <t>Fiori &amp; Direct Portal Entry</t>
        </is>
      </c>
      <c r="E9" s="93" t="inlineStr">
        <is>
          <t>Support approved application launch paths through the Fiori Launchpad and direct portal URL, with appropriate access validation.</t>
        </is>
      </c>
      <c r="F9" s="92" t="n">
        <v>46261</v>
      </c>
      <c r="G9" s="92" t="n">
        <v>46262</v>
      </c>
      <c r="H9" s="92" t="n">
        <v>46261</v>
      </c>
      <c r="I9" s="92" t="n">
        <v>46262</v>
      </c>
      <c r="J9" s="84" t="inlineStr">
        <is>
          <t>Rahul</t>
        </is>
      </c>
      <c r="K9" s="85" t="inlineStr">
        <is>
          <t>Completed</t>
        </is>
      </c>
      <c r="L9" s="82" t="inlineStr">
        <is>
          <t>100%</t>
        </is>
      </c>
      <c r="M9" s="89" t="inlineStr">
        <is>
          <t>BE + FE</t>
        </is>
      </c>
      <c r="N9" s="94" t="n"/>
      <c r="O9" s="94" t="n"/>
    </row>
    <row r="10" hidden="1" ht="31.5" customHeight="1">
      <c r="A10" s="82" t="n">
        <v>5</v>
      </c>
      <c r="B10" s="90" t="inlineStr">
        <is>
          <t>Authentication &amp; Access</t>
        </is>
      </c>
      <c r="C10" s="91" t="inlineStr">
        <is>
          <t>SSO &amp; Session</t>
        </is>
      </c>
      <c r="D10" s="91" t="inlineStr">
        <is>
          <t>Entra ID SSO Integration</t>
        </is>
      </c>
      <c r="E10" s="93" t="inlineStr">
        <is>
          <t>Integrate Microsoft Entra ID using OIDC/OAuth for secure user authentication and seamless single sign-on.</t>
        </is>
      </c>
      <c r="F10" s="92" t="n">
        <v>46261</v>
      </c>
      <c r="G10" s="92" t="n">
        <v>46262</v>
      </c>
      <c r="H10" s="92" t="n">
        <v>46261</v>
      </c>
      <c r="I10" s="92" t="n">
        <v>46262</v>
      </c>
      <c r="J10" s="84" t="inlineStr">
        <is>
          <t>Rahul</t>
        </is>
      </c>
      <c r="K10" s="85" t="inlineStr">
        <is>
          <t>Completed</t>
        </is>
      </c>
      <c r="L10" s="82" t="inlineStr">
        <is>
          <t>100%</t>
        </is>
      </c>
      <c r="M10" s="89" t="inlineStr">
        <is>
          <t>BE + FE</t>
        </is>
      </c>
      <c r="N10" s="94" t="n"/>
      <c r="O10" s="94" t="n"/>
    </row>
    <row r="11" hidden="1" ht="31.5" customHeight="1">
      <c r="A11" s="82" t="n">
        <v>6</v>
      </c>
      <c r="B11" s="90" t="inlineStr">
        <is>
          <t>Authentication &amp; Access</t>
        </is>
      </c>
      <c r="C11" s="91" t="inlineStr">
        <is>
          <t>SSO &amp; Session</t>
        </is>
      </c>
      <c r="D11" s="91" t="inlineStr">
        <is>
          <t>Session &amp; Logout Management</t>
        </is>
      </c>
      <c r="E11" s="93" t="inlineStr">
        <is>
          <t>Implement token/session expiry, session validation, automatic h</t>
        </is>
      </c>
      <c r="F11" s="92" t="n">
        <v>46265</v>
      </c>
      <c r="G11" s="92" t="n">
        <v>46266</v>
      </c>
      <c r="H11" s="92" t="n">
        <v>46265</v>
      </c>
      <c r="I11" s="92" t="n">
        <v>46266</v>
      </c>
      <c r="J11" s="84" t="inlineStr">
        <is>
          <t>Rahul</t>
        </is>
      </c>
      <c r="K11" s="85" t="inlineStr">
        <is>
          <t>Completed</t>
        </is>
      </c>
      <c r="L11" s="82" t="inlineStr">
        <is>
          <t>100%</t>
        </is>
      </c>
      <c r="M11" s="89" t="inlineStr">
        <is>
          <t>BE + FE</t>
        </is>
      </c>
      <c r="N11" s="94" t="n"/>
      <c r="O11" s="94" t="n"/>
    </row>
    <row r="12" hidden="1" ht="31.5" customHeight="1">
      <c r="A12" s="82" t="n">
        <v>7</v>
      </c>
      <c r="B12" s="90" t="inlineStr">
        <is>
          <t>Authentication &amp; Access</t>
        </is>
      </c>
      <c r="C12" s="91" t="inlineStr">
        <is>
          <t>RBAC &amp; User Admin</t>
        </is>
      </c>
      <c r="D12" s="91" t="inlineStr">
        <is>
          <t>Role mapping, authorization and user/role administration</t>
        </is>
      </c>
      <c r="E12" s="93" t="inlineStr">
        <is>
          <t>Map Entra identities/groups to EAPA roles. Enforce page, API, action and data-scope permissions. Provide controlled user-role admin.</t>
        </is>
      </c>
      <c r="F12" s="92" t="n">
        <v>46265</v>
      </c>
      <c r="G12" s="92" t="n">
        <v>46266</v>
      </c>
      <c r="H12" s="92" t="n">
        <v>46265</v>
      </c>
      <c r="I12" s="92" t="n">
        <v>46266</v>
      </c>
      <c r="J12" s="84" t="inlineStr">
        <is>
          <t>Rahul</t>
        </is>
      </c>
      <c r="K12" s="85" t="inlineStr">
        <is>
          <t>Completed</t>
        </is>
      </c>
      <c r="L12" s="82" t="inlineStr">
        <is>
          <t>100%</t>
        </is>
      </c>
      <c r="M12" s="89" t="inlineStr">
        <is>
          <t>BE + FE + DB</t>
        </is>
      </c>
      <c r="N12" s="94" t="n"/>
      <c r="O12" s="94" t="n"/>
    </row>
    <row r="13" ht="31.5" customHeight="1">
      <c r="A13" s="82" t="n">
        <v>8</v>
      </c>
      <c r="B13" s="90" t="inlineStr">
        <is>
          <t>Admin &amp; Configuration</t>
        </is>
      </c>
      <c r="C13" s="91" t="inlineStr">
        <is>
          <t>Invoice Category Config</t>
        </is>
      </c>
      <c r="D13" s="91" t="inlineStr">
        <is>
          <t>Invoice category and subcategory master</t>
        </is>
      </c>
      <c r="E13" s="93" t="inlineStr">
        <is>
          <t>Create UI/API/data model for categories, subcategories, codes, descriptions and active status.</t>
        </is>
      </c>
      <c r="F13" s="58" t="inlineStr">
        <is>
          <t>07-Sep-26</t>
        </is>
      </c>
      <c r="G13" s="58" t="inlineStr">
        <is>
          <t>16-Sep-26</t>
        </is>
      </c>
      <c r="H13" s="92" t="n">
        <v>46251</v>
      </c>
      <c r="I13" s="92" t="n">
        <v>46253</v>
      </c>
      <c r="J13" s="95" t="inlineStr">
        <is>
          <t>Sabrina</t>
        </is>
      </c>
      <c r="K13" s="85" t="inlineStr">
        <is>
          <t>Completed</t>
        </is>
      </c>
      <c r="L13" s="96" t="n">
        <v>1</v>
      </c>
      <c r="M13" s="86" t="inlineStr">
        <is>
          <t>FE + BE + DB</t>
        </is>
      </c>
      <c r="N13" s="97" t="inlineStr">
        <is>
          <t>INP-001 — Category list from ESSA pending</t>
        </is>
      </c>
      <c r="O13" s="93" t="n"/>
    </row>
    <row r="14" ht="31.5" customHeight="1">
      <c r="A14" s="82" t="n">
        <v>9</v>
      </c>
      <c r="B14" s="90" t="inlineStr">
        <is>
          <t>Admin &amp; Configuration</t>
        </is>
      </c>
      <c r="C14" s="91" t="inlineStr">
        <is>
          <t>Document Matrix Config</t>
        </is>
      </c>
      <c r="D14" s="91" t="inlineStr">
        <is>
          <t>Document types, required/conditional document matrix</t>
        </is>
      </c>
      <c r="E14" s="93" t="inlineStr">
        <is>
          <t>Configure document types, mandatory/optional/conditional applicability by category and processing modes (AVAILABILITY_ONLY, EXTRACT_ONLY, EXTRACT_AND_VALIDATE).</t>
        </is>
      </c>
      <c r="F14" s="58" t="inlineStr">
        <is>
          <t>07-Sep-26</t>
        </is>
      </c>
      <c r="G14" s="58" t="inlineStr">
        <is>
          <t>16-Sep-26</t>
        </is>
      </c>
      <c r="H14" s="92" t="n">
        <v>46251</v>
      </c>
      <c r="I14" s="92" t="n">
        <v>46253</v>
      </c>
      <c r="J14" s="95" t="inlineStr">
        <is>
          <t>Sabrina</t>
        </is>
      </c>
      <c r="K14" s="85" t="inlineStr">
        <is>
          <t>Completed</t>
        </is>
      </c>
      <c r="L14" s="96" t="n">
        <v>1</v>
      </c>
      <c r="M14" s="86" t="inlineStr">
        <is>
          <t>FE + BE + DB</t>
        </is>
      </c>
      <c r="N14" s="97" t="inlineStr">
        <is>
          <t>INP-002 — Document matrix from ESSA pending</t>
        </is>
      </c>
      <c r="O14" s="93" t="n"/>
    </row>
    <row r="15" ht="31.5" customHeight="1">
      <c r="A15" s="82" t="n">
        <v>10</v>
      </c>
      <c r="B15" s="90" t="inlineStr">
        <is>
          <t>Admin &amp; Configuration</t>
        </is>
      </c>
      <c r="C15" s="91" t="inlineStr">
        <is>
          <t>Field &amp; Schema Config</t>
        </is>
      </c>
      <c r="D15" s="91" t="inlineStr">
        <is>
          <t>Invoice/document field and extraction schema config</t>
        </is>
      </c>
      <c r="E15" s="93" t="inlineStr">
        <is>
          <t>Configure fields, data types, mandatory flags, source document, normalization rules and validation applicability by category/document.</t>
        </is>
      </c>
      <c r="F15" s="58" t="inlineStr">
        <is>
          <t>07-Sep-26</t>
        </is>
      </c>
      <c r="G15" s="58" t="inlineStr">
        <is>
          <t>16-Sep-26</t>
        </is>
      </c>
      <c r="H15" s="92" t="n">
        <v>46246</v>
      </c>
      <c r="I15" s="92" t="n">
        <v>46248</v>
      </c>
      <c r="J15" s="95" t="inlineStr">
        <is>
          <t>Sabrina</t>
        </is>
      </c>
      <c r="K15" s="85" t="inlineStr">
        <is>
          <t>Completed</t>
        </is>
      </c>
      <c r="L15" s="96" t="n">
        <v>1</v>
      </c>
      <c r="M15" s="89" t="inlineStr">
        <is>
          <t>BE + DB</t>
        </is>
      </c>
      <c r="N15" s="97" t="inlineStr">
        <is>
          <t>INP-003 — Annexure B from ESSA pending</t>
        </is>
      </c>
      <c r="O15" s="93" t="n"/>
    </row>
    <row r="16" ht="31.5" customHeight="1">
      <c r="A16" s="82" t="n">
        <v>11</v>
      </c>
      <c r="B16" s="90" t="inlineStr">
        <is>
          <t>Admin &amp; Configuration</t>
        </is>
      </c>
      <c r="C16" s="91" t="inlineStr">
        <is>
          <t>Prompt Config</t>
        </is>
      </c>
      <c r="D16" s="91" t="inlineStr">
        <is>
          <t>Category/document prompt template configuration</t>
        </is>
      </c>
      <c r="E16" s="93" t="inlineStr">
        <is>
          <t>Maintain extraction prompts, instructions, schema bindings and model parameters by category/document.</t>
        </is>
      </c>
      <c r="F16" s="58" t="inlineStr">
        <is>
          <t>07-Sep-26</t>
        </is>
      </c>
      <c r="G16" s="58" t="inlineStr">
        <is>
          <t>16-Sep-26</t>
        </is>
      </c>
      <c r="H16" s="92" t="n">
        <v>46251</v>
      </c>
      <c r="I16" s="92" t="n">
        <v>46252</v>
      </c>
      <c r="J16" s="95" t="inlineStr">
        <is>
          <t>Sabrina</t>
        </is>
      </c>
      <c r="K16" s="85" t="inlineStr">
        <is>
          <t>Completed</t>
        </is>
      </c>
      <c r="L16" s="96" t="n">
        <v>1</v>
      </c>
      <c r="M16" s="89" t="inlineStr">
        <is>
          <t>BE + DB</t>
        </is>
      </c>
      <c r="N16" s="97" t="inlineStr">
        <is>
          <t>INP-003 — Annexure B from ESSA pending</t>
        </is>
      </c>
      <c r="O16" s="93" t="n"/>
    </row>
    <row r="17" ht="31.5" customHeight="1">
      <c r="A17" s="82" t="n">
        <v>12</v>
      </c>
      <c r="B17" s="90" t="inlineStr">
        <is>
          <t>Admin &amp; Configuration</t>
        </is>
      </c>
      <c r="C17" s="91" t="inlineStr">
        <is>
          <t>Validation Config</t>
        </is>
      </c>
      <c r="D17" s="91" t="inlineStr">
        <is>
          <t>Validation rule, tolerance and outcome-code metadata</t>
        </is>
      </c>
      <c r="E17" s="93" t="inlineStr">
        <is>
          <t>Configure deterministic rule applicability, parameters, tolerances, outcome/error codes and rule versions.</t>
        </is>
      </c>
      <c r="F17" s="58" t="inlineStr">
        <is>
          <t>07-Sep-26</t>
        </is>
      </c>
      <c r="G17" s="58" t="inlineStr">
        <is>
          <t>16-Sep-26</t>
        </is>
      </c>
      <c r="H17" s="92" t="n">
        <v>46253</v>
      </c>
      <c r="I17" s="58" t="n"/>
      <c r="J17" s="95" t="inlineStr">
        <is>
          <t>Sabrina</t>
        </is>
      </c>
      <c r="K17" s="98" t="inlineStr">
        <is>
          <t>In Progress</t>
        </is>
      </c>
      <c r="L17" s="99" t="inlineStr">
        <is>
          <t>0%</t>
        </is>
      </c>
      <c r="M17" s="89" t="inlineStr">
        <is>
          <t>BE + DB</t>
        </is>
      </c>
      <c r="N17" s="97" t="inlineStr">
        <is>
          <t>INP-002, INP-007, INP-008 from ESSA pending</t>
        </is>
      </c>
      <c r="O17" s="93" t="n"/>
    </row>
    <row r="18" hidden="1" ht="31.5" customHeight="1">
      <c r="A18" s="82" t="n">
        <v>13</v>
      </c>
      <c r="B18" s="90" t="inlineStr">
        <is>
          <t>Admin &amp; Configuration</t>
        </is>
      </c>
      <c r="C18" s="91" t="inlineStr">
        <is>
          <t>SLA Configuration</t>
        </is>
      </c>
      <c r="D18" s="91" t="inlineStr">
        <is>
          <t>SLA &amp; Due-Date Settings</t>
        </is>
      </c>
      <c r="E18" s="93" t="inlineStr">
        <is>
          <t>Configure SLA rules, due dates, business hours, and applicable SLA parameters.</t>
        </is>
      </c>
      <c r="F18" s="92" t="n">
        <v>46272</v>
      </c>
      <c r="G18" s="92" t="n">
        <v>46275</v>
      </c>
      <c r="H18" s="92" t="n">
        <v>46272</v>
      </c>
      <c r="I18" s="58" t="n"/>
      <c r="J18" s="84" t="inlineStr">
        <is>
          <t>Rahul</t>
        </is>
      </c>
      <c r="K18" s="98" t="inlineStr">
        <is>
          <t>In Progress</t>
        </is>
      </c>
      <c r="L18" s="96" t="n">
        <v>0.6</v>
      </c>
      <c r="M18" s="89" t="inlineStr">
        <is>
          <t>BE + FE + DB</t>
        </is>
      </c>
      <c r="N18" s="97" t="inlineStr">
        <is>
          <t>INP-016 — SLA confirmation from ESSA pending</t>
        </is>
      </c>
      <c r="O18" s="93" t="n"/>
    </row>
    <row r="19" hidden="1" ht="31.5" customHeight="1">
      <c r="A19" s="82" t="n">
        <v>14</v>
      </c>
      <c r="B19" s="90" t="inlineStr">
        <is>
          <t>Admin &amp; Configuration</t>
        </is>
      </c>
      <c r="C19" s="91" t="inlineStr">
        <is>
          <t>SLA Configuration</t>
        </is>
      </c>
      <c r="D19" s="91" t="inlineStr">
        <is>
          <t>Reminder Schedules</t>
        </is>
      </c>
      <c r="E19" s="93" t="inlineStr">
        <is>
          <t>Configure reminder intervals, notification timings, and recipients for approaching SLA due dates.</t>
        </is>
      </c>
      <c r="F19" s="92" t="n">
        <v>46272</v>
      </c>
      <c r="G19" s="92" t="n">
        <v>46275</v>
      </c>
      <c r="H19" s="92" t="n">
        <v>46272</v>
      </c>
      <c r="I19" s="58" t="n"/>
      <c r="J19" s="84" t="inlineStr">
        <is>
          <t>Rahul</t>
        </is>
      </c>
      <c r="K19" s="98" t="inlineStr">
        <is>
          <t>In Progress</t>
        </is>
      </c>
      <c r="L19" s="96" t="n">
        <v>0.6</v>
      </c>
      <c r="M19" s="89" t="inlineStr">
        <is>
          <t>BE + FE + DB</t>
        </is>
      </c>
      <c r="N19" s="97" t="inlineStr">
        <is>
          <t>INP-016 — SLA confirmation from ESSA pending</t>
        </is>
      </c>
      <c r="O19" s="93" t="n"/>
    </row>
    <row r="20" hidden="1" ht="31.5" customHeight="1">
      <c r="A20" s="82" t="n">
        <v>15</v>
      </c>
      <c r="B20" s="90" t="inlineStr">
        <is>
          <t>Admin &amp; Configuration</t>
        </is>
      </c>
      <c r="C20" s="91" t="inlineStr">
        <is>
          <t>SLA Configuration</t>
        </is>
      </c>
      <c r="D20" s="91" t="inlineStr">
        <is>
          <t>Escalation Schedules</t>
        </is>
      </c>
      <c r="E20" s="93" t="inlineStr">
        <is>
          <t>Configure escalation rules, escalation levels, timings, and recipients for approaching or breached SLAs.</t>
        </is>
      </c>
      <c r="F20" s="92" t="n">
        <v>46272</v>
      </c>
      <c r="G20" s="92" t="n">
        <v>46275</v>
      </c>
      <c r="H20" s="92" t="n">
        <v>46272</v>
      </c>
      <c r="I20" s="58" t="n"/>
      <c r="J20" s="84" t="inlineStr">
        <is>
          <t>Rahul</t>
        </is>
      </c>
      <c r="K20" s="98" t="inlineStr">
        <is>
          <t>In Progress</t>
        </is>
      </c>
      <c r="L20" s="96" t="n">
        <v>0.6</v>
      </c>
      <c r="M20" s="89" t="inlineStr">
        <is>
          <t>BE + FE + DB</t>
        </is>
      </c>
      <c r="N20" s="97" t="n"/>
      <c r="O20" s="93" t="n"/>
    </row>
    <row r="21" hidden="1" ht="31.5" customHeight="1">
      <c r="A21" s="100" t="n">
        <v>16</v>
      </c>
      <c r="B21" s="90" t="inlineStr">
        <is>
          <t>Admin &amp; Configuration</t>
        </is>
      </c>
      <c r="C21" s="91" t="inlineStr">
        <is>
          <t>Communication Configuration</t>
        </is>
      </c>
      <c r="D21" s="91" t="inlineStr">
        <is>
          <t>Email Templates</t>
        </is>
      </c>
      <c r="E21" s="93" t="inlineStr">
        <is>
          <t>Create Email Template UI – Design and implement the UI to create, edit, view, and manage static email templates used for SLA reminders, escalations, and other system communications.</t>
        </is>
      </c>
      <c r="F21" s="92" t="n">
        <v>46267</v>
      </c>
      <c r="G21" s="92" t="n">
        <v>46269</v>
      </c>
      <c r="H21" s="92" t="n">
        <v>46267</v>
      </c>
      <c r="I21" s="92" t="n">
        <v>46269</v>
      </c>
      <c r="J21" s="84" t="inlineStr">
        <is>
          <t>Rahul</t>
        </is>
      </c>
      <c r="K21" s="85" t="inlineStr">
        <is>
          <t>Completed</t>
        </is>
      </c>
      <c r="L21" s="96" t="n">
        <v>1</v>
      </c>
      <c r="M21" s="89" t="inlineStr">
        <is>
          <t>BE + FE + DB</t>
        </is>
      </c>
      <c r="N21" s="97" t="inlineStr">
        <is>
          <t>INP-016 — SLA confirmation from ESSA pending</t>
        </is>
      </c>
      <c r="O21" s="93" t="n"/>
    </row>
    <row r="22" hidden="1" ht="31.5" customHeight="1">
      <c r="A22" s="100" t="n"/>
      <c r="B22" s="90" t="inlineStr">
        <is>
          <t>Admin &amp; Configuration</t>
        </is>
      </c>
      <c r="C22" s="91" t="inlineStr">
        <is>
          <t>Communication Configuration</t>
        </is>
      </c>
      <c r="D22" s="91" t="inlineStr">
        <is>
          <t>Email Templates</t>
        </is>
      </c>
      <c r="E22" s="93" t="inlineStr">
        <is>
          <t>Email Template Management &amp; Integration – Implement the backend/API functionality to store, retrieve, update, and manage email templates, and integrate the templates with the relevant SLA reminder and escalation communication flows.</t>
        </is>
      </c>
      <c r="F22" s="92" t="n">
        <v>46267</v>
      </c>
      <c r="G22" s="92" t="n">
        <v>46269</v>
      </c>
      <c r="H22" s="92" t="n">
        <v>46267</v>
      </c>
      <c r="I22" s="92" t="n">
        <v>46269</v>
      </c>
      <c r="J22" s="84" t="inlineStr">
        <is>
          <t>Rahul</t>
        </is>
      </c>
      <c r="K22" s="85" t="inlineStr">
        <is>
          <t>Completed</t>
        </is>
      </c>
      <c r="L22" s="96" t="n">
        <v>1</v>
      </c>
      <c r="M22" s="89" t="inlineStr">
        <is>
          <t>BE + FE + DB</t>
        </is>
      </c>
      <c r="N22" s="97" t="n"/>
      <c r="O22" s="93" t="n"/>
    </row>
    <row r="23" hidden="1" ht="31.5" customHeight="1">
      <c r="A23" s="82" t="n">
        <v>17</v>
      </c>
      <c r="B23" s="90" t="inlineStr">
        <is>
          <t>Admin &amp; Configuration</t>
        </is>
      </c>
      <c r="C23" s="91" t="inlineStr">
        <is>
          <t>Communication Configuration</t>
        </is>
      </c>
      <c r="D23" s="91" t="inlineStr">
        <is>
          <t>Teams &amp; In-App Templates</t>
        </is>
      </c>
      <c r="E23" s="93" t="inlineStr">
        <is>
          <t>Create and manage static Microsoft Teams and in-app notification templates for system communications.</t>
        </is>
      </c>
      <c r="F23" s="58" t="n"/>
      <c r="G23" s="58" t="n"/>
      <c r="H23" s="58" t="n"/>
      <c r="I23" s="58" t="n"/>
      <c r="J23" s="84" t="inlineStr">
        <is>
          <t>Rahul</t>
        </is>
      </c>
      <c r="K23" s="98" t="n"/>
      <c r="L23" s="99" t="n"/>
      <c r="M23" s="89" t="n"/>
      <c r="N23" s="97" t="n"/>
      <c r="O23" s="93" t="n"/>
    </row>
    <row r="24" hidden="1" ht="31.5" customHeight="1">
      <c r="A24" s="82" t="n">
        <v>18</v>
      </c>
      <c r="B24" s="90" t="inlineStr">
        <is>
          <t>Admin &amp; Configuration</t>
        </is>
      </c>
      <c r="C24" s="91" t="inlineStr">
        <is>
          <t>Workflow Config</t>
        </is>
      </c>
      <c r="D24" s="91" t="inlineStr">
        <is>
          <t>DoA, approval and Tax workflow configuration</t>
        </is>
      </c>
      <c r="E24" s="93" t="inlineStr">
        <is>
          <t>Configure approval stages, DoA thresholds/hierarchy, Tax applicability, WPC approval applicability and workflow versions.</t>
        </is>
      </c>
      <c r="F24" s="58" t="n"/>
      <c r="G24" s="58" t="n"/>
      <c r="H24" s="58" t="n"/>
      <c r="I24" s="58" t="n"/>
      <c r="J24" s="87" t="n"/>
      <c r="K24" s="88" t="inlineStr">
        <is>
          <t>Not Started</t>
        </is>
      </c>
      <c r="L24" s="99" t="inlineStr">
        <is>
          <t>0%</t>
        </is>
      </c>
      <c r="M24" s="89" t="inlineStr">
        <is>
          <t>BE + DB</t>
        </is>
      </c>
      <c r="N24" s="97" t="inlineStr">
        <is>
          <t>INP-004 — DoA matrix from ESSA pending</t>
        </is>
      </c>
      <c r="O24" s="93" t="n"/>
    </row>
    <row r="25" hidden="1" ht="31.5" customHeight="1">
      <c r="A25" s="82" t="n">
        <v>19</v>
      </c>
      <c r="B25" s="90" t="inlineStr">
        <is>
          <t>Admin &amp; Configuration</t>
        </is>
      </c>
      <c r="C25" s="91" t="inlineStr">
        <is>
          <t>Config Governance</t>
        </is>
      </c>
      <c r="D25" s="91" t="inlineStr">
        <is>
          <t>Draft, review, approve, publish and version governance</t>
        </is>
      </c>
      <c r="E25" s="93" t="inlineStr">
        <is>
          <t>Controlled config lifecycle with immutable published versions, effective dates, activation and rollback/history.</t>
        </is>
      </c>
      <c r="F25" s="58" t="n"/>
      <c r="G25" s="58" t="n"/>
      <c r="H25" s="58" t="n"/>
      <c r="I25" s="58" t="n"/>
      <c r="J25" s="87" t="n"/>
      <c r="K25" s="88" t="inlineStr">
        <is>
          <t>Not Started</t>
        </is>
      </c>
      <c r="L25" s="99" t="inlineStr">
        <is>
          <t>0%</t>
        </is>
      </c>
      <c r="M25" s="89" t="inlineStr">
        <is>
          <t>BE + DB</t>
        </is>
      </c>
      <c r="N25" s="93" t="n"/>
      <c r="O25" s="93" t="n"/>
    </row>
    <row r="26" hidden="1" ht="31.5" customHeight="1">
      <c r="A26" s="100" t="n">
        <v>76</v>
      </c>
      <c r="B26" s="90" t="inlineStr">
        <is>
          <t>SLA &amp; Notifications</t>
        </is>
      </c>
      <c r="C26" s="91" t="inlineStr">
        <is>
          <t>SLA Engine</t>
        </is>
      </c>
      <c r="D26" s="91" t="inlineStr">
        <is>
          <t>SLA Configuration &amp; Rule Evaluation</t>
        </is>
      </c>
      <c r="E26" s="93" t="inlineStr">
        <is>
          <t>Read published SLA configuration and evaluate applicable SLA rules based on invoice, stage, and business conditions.</t>
        </is>
      </c>
      <c r="F26" s="92" t="n">
        <v>46276</v>
      </c>
      <c r="G26" s="92" t="n">
        <v>46281</v>
      </c>
      <c r="H26" s="58" t="n"/>
      <c r="I26" s="58" t="n"/>
      <c r="J26" s="84" t="inlineStr">
        <is>
          <t>Rahul</t>
        </is>
      </c>
      <c r="K26" s="88" t="inlineStr">
        <is>
          <t>Not Started</t>
        </is>
      </c>
      <c r="L26" s="99" t="inlineStr">
        <is>
          <t>0%</t>
        </is>
      </c>
      <c r="M26" s="89" t="inlineStr">
        <is>
          <t>BE + FE + DB</t>
        </is>
      </c>
      <c r="N26" s="97" t="inlineStr">
        <is>
          <t>INP-016 — SLA definitions from ESSA AP</t>
        </is>
      </c>
      <c r="O26" s="93" t="n"/>
    </row>
    <row r="27" hidden="1" ht="31.5" customHeight="1">
      <c r="A27" s="82" t="n">
        <v>77</v>
      </c>
      <c r="B27" s="90" t="inlineStr">
        <is>
          <t>SLA &amp; Notifications</t>
        </is>
      </c>
      <c r="C27" s="91" t="inlineStr">
        <is>
          <t>SLA Engine</t>
        </is>
      </c>
      <c r="D27" s="91" t="inlineStr">
        <is>
          <t>Due-Date &amp; SLA Calculation</t>
        </is>
      </c>
      <c r="E27" s="93" t="inlineStr">
        <is>
          <t>Calculate invoice/stage due dates and SLA checkpoints using configured rules, calendars, working hours, and invoice/stage attributes.</t>
        </is>
      </c>
      <c r="F27" s="92" t="n">
        <v>46276</v>
      </c>
      <c r="G27" s="92" t="n">
        <v>46281</v>
      </c>
      <c r="H27" s="58" t="n"/>
      <c r="I27" s="58" t="n"/>
      <c r="J27" s="84" t="inlineStr">
        <is>
          <t>Rahul</t>
        </is>
      </c>
      <c r="K27" s="88" t="inlineStr">
        <is>
          <t>Not Started</t>
        </is>
      </c>
      <c r="L27" s="99" t="inlineStr">
        <is>
          <t>0%</t>
        </is>
      </c>
      <c r="M27" s="89" t="inlineStr">
        <is>
          <t>BE + FE + DB</t>
        </is>
      </c>
      <c r="N27" s="93" t="n"/>
      <c r="O27" s="93" t="n"/>
    </row>
    <row r="28" hidden="1" ht="31.5" customHeight="1">
      <c r="A28" s="82" t="n">
        <v>78</v>
      </c>
      <c r="B28" s="90" t="inlineStr">
        <is>
          <t>SLA &amp; Notifications</t>
        </is>
      </c>
      <c r="C28" s="91" t="inlineStr">
        <is>
          <t>Reminder &amp; Escalation</t>
        </is>
      </c>
      <c r="D28" s="91" t="inlineStr">
        <is>
          <t>Reminder Scheduling</t>
        </is>
      </c>
      <c r="E28" s="93" t="inlineStr">
        <is>
          <t>Generate and schedule configured reminders for pending reviews, approvals, and other SLA-driven activities.</t>
        </is>
      </c>
      <c r="F28" s="92" t="n">
        <v>46276</v>
      </c>
      <c r="G28" s="92" t="n">
        <v>46281</v>
      </c>
      <c r="H28" s="58" t="n"/>
      <c r="I28" s="58" t="n"/>
      <c r="J28" s="84" t="inlineStr">
        <is>
          <t>Rahul</t>
        </is>
      </c>
      <c r="K28" s="88" t="inlineStr">
        <is>
          <t>Not Started</t>
        </is>
      </c>
      <c r="L28" s="99" t="inlineStr">
        <is>
          <t>0%</t>
        </is>
      </c>
      <c r="M28" s="89" t="inlineStr">
        <is>
          <t>BE + FE + DB</t>
        </is>
      </c>
      <c r="N28" s="93" t="n"/>
      <c r="O28" s="93" t="n"/>
    </row>
    <row r="29" hidden="1" ht="31.5" customHeight="1">
      <c r="A29" s="82" t="n"/>
      <c r="B29" s="90" t="inlineStr">
        <is>
          <t>SLA &amp; Notifications</t>
        </is>
      </c>
      <c r="C29" s="91" t="inlineStr">
        <is>
          <t>Reminder &amp; Escalation</t>
        </is>
      </c>
      <c r="D29" s="91" t="inlineStr">
        <is>
          <t>Escalation &amp; Vendor-Chase Scheduling</t>
        </is>
      </c>
      <c r="E29" s="93" t="inlineStr">
        <is>
          <t>Generate configured escalations for SLA breaches/thresholds and schedule vendor-chase notifications for missing documents or pending actions.</t>
        </is>
      </c>
      <c r="F29" s="92" t="n">
        <v>46276</v>
      </c>
      <c r="G29" s="92" t="n">
        <v>46281</v>
      </c>
      <c r="H29" s="58" t="n"/>
      <c r="I29" s="58" t="n"/>
      <c r="J29" s="84" t="inlineStr">
        <is>
          <t>Rahul</t>
        </is>
      </c>
      <c r="K29" s="88" t="inlineStr">
        <is>
          <t>Not Started</t>
        </is>
      </c>
      <c r="L29" s="99" t="inlineStr">
        <is>
          <t>0%</t>
        </is>
      </c>
      <c r="M29" s="89" t="inlineStr">
        <is>
          <t>BE + FE + DB</t>
        </is>
      </c>
      <c r="N29" s="93" t="n"/>
      <c r="O29" s="93" t="n"/>
    </row>
    <row r="30" hidden="1" ht="31.5" customHeight="1">
      <c r="A30" s="82" t="n"/>
      <c r="B30" s="90" t="inlineStr">
        <is>
          <t>SLA &amp; Notifications</t>
        </is>
      </c>
      <c r="C30" s="91" t="inlineStr">
        <is>
          <t>Notification Delivery</t>
        </is>
      </c>
      <c r="D30" s="91" t="inlineStr">
        <is>
          <t>Email Notification Delivery</t>
        </is>
      </c>
      <c r="E30" s="93" t="inlineStr">
        <is>
          <t>Implement Email notification delivery, including recipient resolution, template rendering, delivery-status tracking, and retry handling.</t>
        </is>
      </c>
      <c r="F30" s="92" t="n">
        <v>46276</v>
      </c>
      <c r="G30" s="92" t="n">
        <v>46281</v>
      </c>
      <c r="H30" s="58" t="n"/>
      <c r="I30" s="58" t="n"/>
      <c r="J30" s="84" t="inlineStr">
        <is>
          <t>Rahul</t>
        </is>
      </c>
      <c r="K30" s="88" t="inlineStr">
        <is>
          <t>Not Started</t>
        </is>
      </c>
      <c r="L30" s="99" t="inlineStr">
        <is>
          <t>0%</t>
        </is>
      </c>
      <c r="M30" s="89" t="inlineStr">
        <is>
          <t>BE + FE + DB</t>
        </is>
      </c>
      <c r="N30" s="93" t="n"/>
      <c r="O30" s="93" t="n"/>
    </row>
    <row r="31" hidden="1" ht="31.5" customHeight="1">
      <c r="A31" s="82" t="n"/>
      <c r="B31" s="90" t="inlineStr">
        <is>
          <t>SLA &amp; Notifications</t>
        </is>
      </c>
      <c r="C31" s="91" t="inlineStr">
        <is>
          <t>Notification Delivery</t>
        </is>
      </c>
      <c r="D31" s="91" t="inlineStr">
        <is>
          <t>Teams &amp; In-App Notification Delivery</t>
        </is>
      </c>
      <c r="E31" s="93" t="inlineStr">
        <is>
          <t>Implement Microsoft Teams and in-app notification delivery, including recipient resolution, template rendering, delivery-status tracking, and retry handling.</t>
        </is>
      </c>
      <c r="F31" s="92" t="n">
        <v>46276</v>
      </c>
      <c r="G31" s="92" t="n">
        <v>46281</v>
      </c>
      <c r="H31" s="58" t="n"/>
      <c r="I31" s="58" t="n"/>
      <c r="J31" s="84" t="inlineStr">
        <is>
          <t>Rahul</t>
        </is>
      </c>
      <c r="K31" s="88" t="inlineStr">
        <is>
          <t>Not Started</t>
        </is>
      </c>
      <c r="L31" s="99" t="inlineStr">
        <is>
          <t>0%</t>
        </is>
      </c>
      <c r="M31" s="89" t="inlineStr">
        <is>
          <t>BE + Integration</t>
        </is>
      </c>
      <c r="N31" s="93" t="n"/>
      <c r="O31" s="93" t="n"/>
    </row>
    <row r="32" ht="31.5" customHeight="1">
      <c r="A32" s="100" t="n">
        <v>20</v>
      </c>
      <c r="B32" s="101" t="inlineStr">
        <is>
          <t>Invoice Ingestion</t>
        </is>
      </c>
      <c r="C32" s="102" t="inlineStr">
        <is>
          <t>Email Ingestion UI Handling</t>
        </is>
      </c>
      <c r="D32" s="102" t="inlineStr">
        <is>
          <t>AP mailbox visibility, manual polling</t>
        </is>
      </c>
      <c r="E32" s="103" t="inlineStr">
        <is>
          <t>View details of status of the inbound emails, manually poll emails and filter email statuses</t>
        </is>
      </c>
      <c r="F32" s="60" t="n"/>
      <c r="G32" s="60" t="n"/>
      <c r="H32" s="60" t="inlineStr">
        <is>
          <t>25-Aug-26</t>
        </is>
      </c>
      <c r="I32" s="104" t="n">
        <v>46273</v>
      </c>
      <c r="J32" s="95" t="inlineStr">
        <is>
          <t>Sabrina</t>
        </is>
      </c>
      <c r="K32" s="85" t="inlineStr">
        <is>
          <t>Completed</t>
        </is>
      </c>
      <c r="L32" s="96" t="n">
        <v>1</v>
      </c>
      <c r="M32" s="89" t="n"/>
      <c r="N32" s="93" t="n"/>
      <c r="O32" s="93" t="n"/>
    </row>
    <row r="33" ht="31.5" customHeight="1">
      <c r="A33" s="82" t="n">
        <v>21</v>
      </c>
      <c r="B33" s="101" t="inlineStr">
        <is>
          <t>Invoice Ingestion</t>
        </is>
      </c>
      <c r="C33" s="102" t="inlineStr">
        <is>
          <t>Email Ingestion</t>
        </is>
      </c>
      <c r="D33" s="102" t="inlineStr">
        <is>
          <t>AP mailbox connectivity, polling and checkpointing</t>
        </is>
      </c>
      <c r="E33" s="103" t="inlineStr">
        <is>
          <t>Connect to AP mailbox, poll/sync messages through controlled checkpoints and capture source metadata.</t>
        </is>
      </c>
      <c r="F33" s="60" t="inlineStr">
        <is>
          <t>25-Aug-26</t>
        </is>
      </c>
      <c r="G33" s="60" t="n"/>
      <c r="H33" s="60" t="inlineStr">
        <is>
          <t>25-Aug-26</t>
        </is>
      </c>
      <c r="I33" s="104" t="n">
        <v>46261</v>
      </c>
      <c r="J33" s="95" t="inlineStr">
        <is>
          <t>Sabrina</t>
        </is>
      </c>
      <c r="K33" s="98" t="inlineStr">
        <is>
          <t>In Progress</t>
        </is>
      </c>
      <c r="L33" s="105" t="n">
        <v>0.8</v>
      </c>
      <c r="M33" s="89" t="inlineStr">
        <is>
          <t>BE + Integration</t>
        </is>
      </c>
      <c r="N33" s="97" t="inlineStr">
        <is>
          <t>INP-014 — Final mailbox/SharePoint config from ESSA IT</t>
        </is>
      </c>
      <c r="O33" s="103" t="inlineStr">
        <is>
          <t>Continuing to test with other invoice types</t>
        </is>
      </c>
    </row>
    <row r="34" ht="31.5" customHeight="1">
      <c r="A34" s="82" t="n">
        <v>22</v>
      </c>
      <c r="B34" s="101" t="inlineStr">
        <is>
          <t>Invoice Ingestion</t>
        </is>
      </c>
      <c r="C34" s="102" t="inlineStr">
        <is>
          <t>Email Registration</t>
        </is>
      </c>
      <c r="D34" s="102" t="inlineStr">
        <is>
          <t>Email, attachment and invoice/bundle registration</t>
        </is>
      </c>
      <c r="E34" s="103" t="inlineStr">
        <is>
          <t>Register email metadata, supported attachments and initial invoice/bundle records.</t>
        </is>
      </c>
      <c r="F34" s="60" t="inlineStr">
        <is>
          <t>25-Aug-26</t>
        </is>
      </c>
      <c r="G34" s="60" t="n"/>
      <c r="H34" s="60" t="inlineStr">
        <is>
          <t>25-Aug-26</t>
        </is>
      </c>
      <c r="I34" s="60" t="inlineStr">
        <is>
          <t>26-Aug-26</t>
        </is>
      </c>
      <c r="J34" s="95" t="inlineStr">
        <is>
          <t>Sabrina</t>
        </is>
      </c>
      <c r="K34" s="98" t="inlineStr">
        <is>
          <t>In Progress</t>
        </is>
      </c>
      <c r="L34" s="106" t="inlineStr">
        <is>
          <t>80%</t>
        </is>
      </c>
      <c r="M34" s="89" t="inlineStr">
        <is>
          <t>BE + DB</t>
        </is>
      </c>
      <c r="N34" s="103" t="n"/>
      <c r="O34" s="103" t="inlineStr">
        <is>
          <t>Continuing to test with other invoice types</t>
        </is>
      </c>
    </row>
    <row r="35" ht="31.5" customHeight="1">
      <c r="A35" s="82" t="n">
        <v>23</v>
      </c>
      <c r="B35" s="101" t="inlineStr">
        <is>
          <t>Invoice Ingestion</t>
        </is>
      </c>
      <c r="C35" s="102" t="inlineStr">
        <is>
          <t>Attachment Controls</t>
        </is>
      </c>
      <c r="D35" s="102" t="inlineStr">
        <is>
          <t>File controls, ZIP handling and one-PDF-one-invoice rule</t>
        </is>
      </c>
      <c r="E35" s="103" t="inlineStr">
        <is>
          <t>Validate extension/content, size and safety; expand ZIPs; enforce supported document policy and reject multi-invoice PDFs.</t>
        </is>
      </c>
      <c r="F35" s="60" t="inlineStr">
        <is>
          <t>25-Aug-26</t>
        </is>
      </c>
      <c r="G35" s="60" t="n"/>
      <c r="H35" s="60" t="inlineStr">
        <is>
          <t>25-Aug-26</t>
        </is>
      </c>
      <c r="I35" s="104" t="n">
        <v>46262</v>
      </c>
      <c r="J35" s="95" t="inlineStr">
        <is>
          <t>Sabrina</t>
        </is>
      </c>
      <c r="K35" s="98" t="inlineStr">
        <is>
          <t>In Progress</t>
        </is>
      </c>
      <c r="L35" s="105" t="n">
        <v>0.8</v>
      </c>
      <c r="M35" s="89" t="inlineStr">
        <is>
          <t>BE</t>
        </is>
      </c>
      <c r="N35" s="103" t="n"/>
      <c r="O35" s="103" t="inlineStr">
        <is>
          <t>Validations for document types not yet implemented</t>
        </is>
      </c>
    </row>
    <row r="36" ht="31.5" customHeight="1">
      <c r="A36" s="100" t="n">
        <v>24</v>
      </c>
      <c r="B36" s="101" t="inlineStr">
        <is>
          <t>Invoice Ingestion</t>
        </is>
      </c>
      <c r="C36" s="102" t="inlineStr">
        <is>
          <t>Subject &amp; Correlation</t>
        </is>
      </c>
      <c r="D36" s="102" t="inlineStr">
        <is>
          <t>Email subject parsing, category/PO hints and DOCREQ correlation</t>
        </is>
      </c>
      <c r="E36" s="103" t="inlineStr">
        <is>
          <t>Parse subject for category hints, PO/reference info and document-request correlation.</t>
        </is>
      </c>
      <c r="F36" s="60" t="inlineStr">
        <is>
          <t>25-Aug-26</t>
        </is>
      </c>
      <c r="G36" s="60" t="n"/>
      <c r="H36" s="60" t="inlineStr">
        <is>
          <t>25-Aug-26</t>
        </is>
      </c>
      <c r="I36" s="60" t="inlineStr">
        <is>
          <t>26-Aug-26</t>
        </is>
      </c>
      <c r="J36" s="95" t="inlineStr">
        <is>
          <t>Sabrina</t>
        </is>
      </c>
      <c r="K36" s="98" t="inlineStr">
        <is>
          <t>In Progress</t>
        </is>
      </c>
      <c r="L36" s="106" t="inlineStr">
        <is>
          <t>80%</t>
        </is>
      </c>
      <c r="M36" s="89" t="inlineStr">
        <is>
          <t>BE</t>
        </is>
      </c>
      <c r="N36" s="103" t="n"/>
      <c r="O36" s="103" t="inlineStr">
        <is>
          <t>Continuing to test with other invoice types</t>
        </is>
      </c>
    </row>
    <row r="37" ht="31.5" customHeight="1">
      <c r="A37" s="82" t="n">
        <v>25</v>
      </c>
      <c r="B37" s="101" t="inlineStr">
        <is>
          <t>Invoice Ingestion</t>
        </is>
      </c>
      <c r="C37" s="102" t="inlineStr">
        <is>
          <t>Duplicate &amp; Idempotency</t>
        </is>
      </c>
      <c r="D37" s="102" t="inlineStr">
        <is>
          <t>Duplicate email, file and invoice intake controls</t>
        </is>
      </c>
      <c r="E37" s="103" t="inlineStr">
        <is>
          <t>Use message IDs, file hashes and business identifiers to prevent duplicate intake.</t>
        </is>
      </c>
      <c r="F37" s="60" t="inlineStr">
        <is>
          <t>27-Aug-26</t>
        </is>
      </c>
      <c r="G37" s="60" t="n"/>
      <c r="H37" s="60" t="inlineStr">
        <is>
          <t>27-Aug-26</t>
        </is>
      </c>
      <c r="I37" s="104" t="n">
        <v>46266</v>
      </c>
      <c r="J37" s="95" t="inlineStr">
        <is>
          <t>Sabrina</t>
        </is>
      </c>
      <c r="K37" s="98" t="inlineStr">
        <is>
          <t>In Progress</t>
        </is>
      </c>
      <c r="L37" s="105" t="n">
        <v>0.8</v>
      </c>
      <c r="M37" s="89" t="inlineStr">
        <is>
          <t>BE + DB</t>
        </is>
      </c>
      <c r="N37" s="103" t="n"/>
      <c r="O37" s="103" t="inlineStr">
        <is>
          <t>Need to keep retesting with multiple documents</t>
        </is>
      </c>
    </row>
    <row r="38" ht="31.5" customHeight="1">
      <c r="A38" s="82" t="n">
        <v>26</v>
      </c>
      <c r="B38" s="101" t="inlineStr">
        <is>
          <t>Invoice Ingestion</t>
        </is>
      </c>
      <c r="C38" s="102" t="inlineStr">
        <is>
          <t>SharePoint Ingestion</t>
        </is>
      </c>
      <c r="D38" s="102" t="inlineStr">
        <is>
          <t>SharePoint watch-folder intake</t>
        </is>
      </c>
      <c r="E38" s="103" t="inlineStr">
        <is>
          <t>Poll approved SharePoint intake location and route files through common controls.</t>
        </is>
      </c>
      <c r="F38" s="60" t="inlineStr">
        <is>
          <t>27-Aug-26</t>
        </is>
      </c>
      <c r="G38" s="60" t="n"/>
      <c r="H38" s="60" t="inlineStr">
        <is>
          <t>27-Aug-26</t>
        </is>
      </c>
      <c r="I38" s="104" t="n">
        <v>46262</v>
      </c>
      <c r="J38" s="95" t="inlineStr">
        <is>
          <t>Sabrina</t>
        </is>
      </c>
      <c r="K38" s="98" t="inlineStr">
        <is>
          <t>In Progress</t>
        </is>
      </c>
      <c r="L38" s="106" t="inlineStr">
        <is>
          <t>80%</t>
        </is>
      </c>
      <c r="M38" s="89" t="inlineStr">
        <is>
          <t>BE + Integration</t>
        </is>
      </c>
      <c r="N38" s="97" t="inlineStr">
        <is>
          <t>INP-014 — SharePoint config from ESSA IT pending</t>
        </is>
      </c>
      <c r="O38" s="103" t="n"/>
    </row>
    <row r="39" ht="31.5" customHeight="1">
      <c r="A39" s="82" t="n">
        <v>27</v>
      </c>
      <c r="B39" s="101" t="inlineStr">
        <is>
          <t>Invoice Ingestion</t>
        </is>
      </c>
      <c r="C39" s="102" t="inlineStr">
        <is>
          <t>Manual Upload (BCP)</t>
        </is>
      </c>
      <c r="D39" s="102" t="inlineStr">
        <is>
          <t>Admin-only manual portal upload</t>
        </is>
      </c>
      <c r="E39" s="103" t="inlineStr">
        <is>
          <t>Controlled business-continuity upload with metadata, file validation, duplicate checks and audit.</t>
        </is>
      </c>
      <c r="F39" s="60" t="inlineStr">
        <is>
          <t>15-Sep-26</t>
        </is>
      </c>
      <c r="G39" s="60" t="inlineStr">
        <is>
          <t>24-Sep-26</t>
        </is>
      </c>
      <c r="H39" s="104" t="n">
        <v>46273</v>
      </c>
      <c r="I39" s="104" t="n">
        <v>46273</v>
      </c>
      <c r="J39" s="95" t="inlineStr">
        <is>
          <t>Sabrina</t>
        </is>
      </c>
      <c r="K39" s="85" t="inlineStr">
        <is>
          <t>Completed</t>
        </is>
      </c>
      <c r="L39" s="105" t="n">
        <v>1</v>
      </c>
      <c r="M39" s="86" t="inlineStr">
        <is>
          <t>FE + BE</t>
        </is>
      </c>
      <c r="N39" s="103" t="n"/>
      <c r="O39" s="103" t="n"/>
    </row>
    <row r="40" ht="31.5" customHeight="1">
      <c r="A40" s="100" t="n">
        <v>28</v>
      </c>
      <c r="B40" s="107" t="inlineStr">
        <is>
          <t>Vendor Communication</t>
        </is>
      </c>
      <c r="C40" s="108" t="inlineStr">
        <is>
          <t>Missing Document Request</t>
        </is>
      </c>
      <c r="D40" s="108" t="inlineStr">
        <is>
          <t>Missing mandatory document request case creation</t>
        </is>
      </c>
      <c r="E40" s="109" t="inlineStr">
        <is>
          <t>Create uniquely identified request against existing invoice for each missing mandatory/conditional document.</t>
        </is>
      </c>
      <c r="F40" s="62" t="inlineStr">
        <is>
          <t>01-Oct-26</t>
        </is>
      </c>
      <c r="G40" s="62" t="inlineStr">
        <is>
          <t>14-Oct-26</t>
        </is>
      </c>
      <c r="H40" s="62" t="inlineStr">
        <is>
          <t>25-Aug-26</t>
        </is>
      </c>
      <c r="I40" s="62" t="n"/>
      <c r="J40" s="95" t="inlineStr">
        <is>
          <t>Sabrina</t>
        </is>
      </c>
      <c r="K40" s="98" t="inlineStr">
        <is>
          <t>In Progress</t>
        </is>
      </c>
      <c r="L40" s="110" t="n">
        <v>0.7</v>
      </c>
      <c r="M40" s="89" t="inlineStr">
        <is>
          <t>BE + DB</t>
        </is>
      </c>
      <c r="N40" s="109" t="n"/>
      <c r="O40" s="109" t="inlineStr">
        <is>
          <t>Email has issue at the moment</t>
        </is>
      </c>
    </row>
    <row r="41" ht="31.5" customHeight="1">
      <c r="A41" s="82" t="n">
        <v>29</v>
      </c>
      <c r="B41" s="107" t="inlineStr">
        <is>
          <t>Vendor Communication</t>
        </is>
      </c>
      <c r="C41" s="108" t="inlineStr">
        <is>
          <t>Vendor Communication Workspace</t>
        </is>
      </c>
      <c r="D41" s="108" t="inlineStr">
        <is>
          <t>Controlled vendor email draft, review/edit and send</t>
        </is>
      </c>
      <c r="E41" s="109" t="inlineStr">
        <is>
          <t>Generate configured vendor communication draft, allow AP Team review/edit, resolve recipients and send only after permitted action.</t>
        </is>
      </c>
      <c r="F41" s="62" t="inlineStr">
        <is>
          <t>01-Oct-26</t>
        </is>
      </c>
      <c r="G41" s="62" t="inlineStr">
        <is>
          <t>14-Oct-26</t>
        </is>
      </c>
      <c r="H41" s="62" t="inlineStr">
        <is>
          <t>25-Aug-26</t>
        </is>
      </c>
      <c r="I41" s="62" t="inlineStr">
        <is>
          <t>25-Aug-26</t>
        </is>
      </c>
      <c r="J41" s="95" t="inlineStr">
        <is>
          <t>Sabrina</t>
        </is>
      </c>
      <c r="K41" s="98" t="inlineStr">
        <is>
          <t>In Progress</t>
        </is>
      </c>
      <c r="L41" s="110" t="n">
        <v>0.8</v>
      </c>
      <c r="M41" s="86" t="inlineStr">
        <is>
          <t>FE + BE</t>
        </is>
      </c>
      <c r="N41" s="109" t="n"/>
      <c r="O41" s="109" t="n"/>
    </row>
    <row r="42" ht="31.5" customHeight="1">
      <c r="A42" s="82" t="n">
        <v>30</v>
      </c>
      <c r="B42" s="107" t="inlineStr">
        <is>
          <t>Vendor Communication</t>
        </is>
      </c>
      <c r="C42" s="108" t="inlineStr">
        <is>
          <t>DOCREQ Communication</t>
        </is>
      </c>
      <c r="D42" s="108" t="inlineStr">
        <is>
          <t>Correlated DOCREQ email generation and send</t>
        </is>
      </c>
      <c r="E42" s="109" t="inlineStr">
        <is>
          <t>Generate document-request email using controlled [EAPA][DOCREQ][INV][REQ][DOC] correlation pattern.</t>
        </is>
      </c>
      <c r="F42" s="62" t="inlineStr">
        <is>
          <t>01-Oct-26</t>
        </is>
      </c>
      <c r="G42" s="62" t="inlineStr">
        <is>
          <t>14-Oct-26</t>
        </is>
      </c>
      <c r="H42" s="111" t="n">
        <v>46268</v>
      </c>
      <c r="I42" s="111" t="n">
        <v>46269</v>
      </c>
      <c r="J42" s="95" t="inlineStr">
        <is>
          <t>Sabrina</t>
        </is>
      </c>
      <c r="K42" s="98" t="inlineStr">
        <is>
          <t>In Progress</t>
        </is>
      </c>
      <c r="L42" s="110" t="n">
        <v>0.7</v>
      </c>
      <c r="M42" s="89" t="inlineStr">
        <is>
          <t>BE</t>
        </is>
      </c>
      <c r="N42" s="109" t="n"/>
      <c r="O42" s="109" t="n"/>
    </row>
    <row r="43" ht="31.5" customHeight="1">
      <c r="A43" s="82" t="n">
        <v>31</v>
      </c>
      <c r="B43" s="107" t="inlineStr">
        <is>
          <t>Vendor Communication</t>
        </is>
      </c>
      <c r="C43" s="108" t="inlineStr">
        <is>
          <t>Vendor Response &amp; Replacement</t>
        </is>
      </c>
      <c r="D43" s="108" t="inlineStr">
        <is>
          <t>Response correlation, replacement lineage and reprocessing</t>
        </is>
      </c>
      <c r="E43" s="109" t="inlineStr">
        <is>
          <t>Correlate vendor reply/replacement to existing invoice/request, retain lineage and resume processing.</t>
        </is>
      </c>
      <c r="F43" s="62" t="inlineStr">
        <is>
          <t>01-Oct-26</t>
        </is>
      </c>
      <c r="G43" s="62" t="inlineStr">
        <is>
          <t>14-Oct-26</t>
        </is>
      </c>
      <c r="H43" s="111" t="n">
        <v>46268</v>
      </c>
      <c r="I43" s="111" t="n">
        <v>46272</v>
      </c>
      <c r="J43" s="95" t="inlineStr">
        <is>
          <t>Sabrina</t>
        </is>
      </c>
      <c r="K43" s="98" t="inlineStr">
        <is>
          <t>In Progress</t>
        </is>
      </c>
      <c r="L43" s="110" t="n">
        <v>0.8</v>
      </c>
      <c r="M43" s="89" t="inlineStr">
        <is>
          <t>BE + DB</t>
        </is>
      </c>
      <c r="N43" s="109" t="n"/>
      <c r="O43" s="109" t="n"/>
    </row>
    <row r="44" ht="31.5" customHeight="1">
      <c r="A44" s="100" t="n">
        <v>32</v>
      </c>
      <c r="B44" s="112" t="inlineStr">
        <is>
          <t>Document Management</t>
        </is>
      </c>
      <c r="C44" s="113" t="inlineStr">
        <is>
          <t>SharePoint Storage</t>
        </is>
      </c>
      <c r="D44" s="113" t="inlineStr">
        <is>
          <t>Invoice and supporting-document storage</t>
        </is>
      </c>
      <c r="E44" s="114" t="inlineStr">
        <is>
          <t>Store document binaries in approved SharePoint structure; persist only metadata/references in EAPA PostgreSQL.</t>
        </is>
      </c>
      <c r="F44" s="64" t="inlineStr">
        <is>
          <t>17-Sep-26</t>
        </is>
      </c>
      <c r="G44" s="64" t="inlineStr">
        <is>
          <t>30-Sep-26</t>
        </is>
      </c>
      <c r="H44" s="64" t="inlineStr">
        <is>
          <t>27-Aug-26</t>
        </is>
      </c>
      <c r="I44" s="115" t="n">
        <v>46262</v>
      </c>
      <c r="J44" s="95" t="inlineStr">
        <is>
          <t>Sabrina</t>
        </is>
      </c>
      <c r="K44" s="85" t="inlineStr">
        <is>
          <t>Completed</t>
        </is>
      </c>
      <c r="L44" s="116" t="n">
        <v>0.8</v>
      </c>
      <c r="M44" s="89" t="inlineStr">
        <is>
          <t>BE + Integration</t>
        </is>
      </c>
      <c r="N44" s="97" t="inlineStr">
        <is>
          <t>INP-014 — SharePoint location from ESSA IT</t>
        </is>
      </c>
      <c r="O44" s="114" t="n"/>
    </row>
    <row r="45" hidden="1" ht="31.5" customHeight="1">
      <c r="A45" s="82" t="n">
        <v>33</v>
      </c>
      <c r="B45" s="117" t="inlineStr">
        <is>
          <t>Document Management</t>
        </is>
      </c>
      <c r="C45" s="118" t="inlineStr">
        <is>
          <t>Metadata &amp; Lineage</t>
        </is>
      </c>
      <c r="D45" s="118" t="inlineStr">
        <is>
          <t>Document metadata, version and replacement lineage</t>
        </is>
      </c>
      <c r="E45" s="119" t="inlineStr">
        <is>
          <t>Maintain source, document type, version, active/replaced state, hashes, request relationships and history.</t>
        </is>
      </c>
      <c r="F45" s="64" t="inlineStr">
        <is>
          <t>17-Sep-26</t>
        </is>
      </c>
      <c r="G45" s="64" t="inlineStr">
        <is>
          <t>30-Sep-26</t>
        </is>
      </c>
      <c r="H45" s="64" t="n"/>
      <c r="I45" s="64" t="n"/>
      <c r="J45" s="87" t="n"/>
      <c r="K45" s="88" t="inlineStr">
        <is>
          <t>Not Started</t>
        </is>
      </c>
      <c r="L45" s="120" t="inlineStr">
        <is>
          <t>0%</t>
        </is>
      </c>
      <c r="M45" s="89" t="inlineStr">
        <is>
          <t>BE + DB</t>
        </is>
      </c>
      <c r="N45" s="114" t="n"/>
      <c r="O45" s="114" t="n"/>
    </row>
    <row r="46" hidden="1" ht="31.5" customHeight="1">
      <c r="A46" s="82" t="n">
        <v>34</v>
      </c>
      <c r="B46" s="117" t="inlineStr">
        <is>
          <t>Document Management</t>
        </is>
      </c>
      <c r="C46" s="118" t="inlineStr">
        <is>
          <t>Secure Document Access</t>
        </is>
      </c>
      <c r="D46" s="118" t="inlineStr">
        <is>
          <t>Authorized preview, download and navigation</t>
        </is>
      </c>
      <c r="E46" s="119" t="inlineStr">
        <is>
          <t>Role-controlled document list, preview/download and navigation across invoice/supporting/replacement documents.</t>
        </is>
      </c>
      <c r="F46" s="64" t="inlineStr">
        <is>
          <t>17-Sep-26</t>
        </is>
      </c>
      <c r="G46" s="64" t="inlineStr">
        <is>
          <t>30-Sep-26</t>
        </is>
      </c>
      <c r="H46" s="64" t="n"/>
      <c r="I46" s="64" t="n"/>
      <c r="J46" s="87" t="n"/>
      <c r="K46" s="88" t="inlineStr">
        <is>
          <t>Not Started</t>
        </is>
      </c>
      <c r="L46" s="120" t="inlineStr">
        <is>
          <t>0%</t>
        </is>
      </c>
      <c r="M46" s="86" t="inlineStr">
        <is>
          <t>FE + BE</t>
        </is>
      </c>
      <c r="N46" s="114" t="n"/>
      <c r="O46" s="114" t="n"/>
    </row>
    <row r="47" hidden="1" ht="31.5" customHeight="1">
      <c r="A47" s="82" t="n">
        <v>35</v>
      </c>
      <c r="B47" s="121" t="inlineStr">
        <is>
          <t>Invoice Processing Orchestration</t>
        </is>
      </c>
      <c r="C47" s="122" t="inlineStr">
        <is>
          <t>Invoice Registration</t>
        </is>
      </c>
      <c r="D47" s="122" t="inlineStr">
        <is>
          <t>Canonical invoice aggregate and lifecycle initialization</t>
        </is>
      </c>
      <c r="E47" s="123" t="inlineStr">
        <is>
          <t>Create canonical invoice identifiers, source relationships and initial Draft status/processing-stage state.</t>
        </is>
      </c>
      <c r="F47" s="66" t="inlineStr">
        <is>
          <t>01-Oct-26</t>
        </is>
      </c>
      <c r="G47" s="66" t="inlineStr">
        <is>
          <t>14-Oct-26</t>
        </is>
      </c>
      <c r="H47" s="66" t="n"/>
      <c r="I47" s="66" t="n"/>
      <c r="J47" s="87" t="n"/>
      <c r="K47" s="88" t="inlineStr">
        <is>
          <t>Not Started</t>
        </is>
      </c>
      <c r="L47" s="124" t="inlineStr">
        <is>
          <t>0%</t>
        </is>
      </c>
      <c r="M47" s="89" t="inlineStr">
        <is>
          <t>BE + DB</t>
        </is>
      </c>
      <c r="N47" s="123" t="n"/>
      <c r="O47" s="123" t="n"/>
    </row>
    <row r="48" hidden="1" ht="31.5" customHeight="1">
      <c r="A48" s="100" t="n">
        <v>36</v>
      </c>
      <c r="B48" s="121" t="inlineStr">
        <is>
          <t>Invoice Processing Orchestration</t>
        </is>
      </c>
      <c r="C48" s="122" t="inlineStr">
        <is>
          <t>Classification</t>
        </is>
      </c>
      <c r="D48" s="122" t="inlineStr">
        <is>
          <t>PO/Non-PO and invoice category classification</t>
        </is>
      </c>
      <c r="E48" s="123" t="inlineStr">
        <is>
          <t>Determine PO/Non-PO and category using subject hints, configured rules and GPT assistance with manual-review path.</t>
        </is>
      </c>
      <c r="F48" s="66" t="inlineStr">
        <is>
          <t>01-Oct-26</t>
        </is>
      </c>
      <c r="G48" s="66" t="inlineStr">
        <is>
          <t>14-Oct-26</t>
        </is>
      </c>
      <c r="H48" s="66" t="n"/>
      <c r="I48" s="66" t="n"/>
      <c r="J48" s="87" t="n"/>
      <c r="K48" s="88" t="inlineStr">
        <is>
          <t>Not Started</t>
        </is>
      </c>
      <c r="L48" s="124" t="inlineStr">
        <is>
          <t>0%</t>
        </is>
      </c>
      <c r="M48" s="89" t="inlineStr">
        <is>
          <t>BE + AI</t>
        </is>
      </c>
      <c r="N48" s="97" t="inlineStr">
        <is>
          <t>INP-001 — Category list from ESSA pending</t>
        </is>
      </c>
      <c r="O48" s="123" t="n"/>
    </row>
    <row r="49" hidden="1" ht="31.5" customHeight="1">
      <c r="A49" s="82" t="n">
        <v>37</v>
      </c>
      <c r="B49" s="121" t="inlineStr">
        <is>
          <t>Invoice Processing Orchestration</t>
        </is>
      </c>
      <c r="C49" s="122" t="inlineStr">
        <is>
          <t>Configuration Resolution</t>
        </is>
      </c>
      <c r="D49" s="122" t="inlineStr">
        <is>
          <t>Published configuration snapshot resolution</t>
        </is>
      </c>
      <c r="E49" s="123" t="inlineStr">
        <is>
          <t>Resolve category, document matrix, fields, prompts, validation rules, SLA and workflow config as one traceable runtime snapshot.</t>
        </is>
      </c>
      <c r="F49" s="66" t="inlineStr">
        <is>
          <t>01-Oct-26</t>
        </is>
      </c>
      <c r="G49" s="66" t="inlineStr">
        <is>
          <t>14-Oct-26</t>
        </is>
      </c>
      <c r="H49" s="66" t="n"/>
      <c r="I49" s="66" t="n"/>
      <c r="J49" s="87" t="n"/>
      <c r="K49" s="88" t="inlineStr">
        <is>
          <t>Not Started</t>
        </is>
      </c>
      <c r="L49" s="124" t="inlineStr">
        <is>
          <t>0%</t>
        </is>
      </c>
      <c r="M49" s="89" t="inlineStr">
        <is>
          <t>BE + DB</t>
        </is>
      </c>
      <c r="N49" s="123" t="n"/>
      <c r="O49" s="123" t="n"/>
    </row>
    <row r="50" hidden="1" ht="31.5" customHeight="1">
      <c r="A50" s="82" t="n">
        <v>38</v>
      </c>
      <c r="B50" s="121" t="inlineStr">
        <is>
          <t>Invoice Processing Orchestration</t>
        </is>
      </c>
      <c r="C50" s="122" t="inlineStr">
        <is>
          <t>Stage &amp; Lifecycle Control</t>
        </is>
      </c>
      <c r="D50" s="122" t="inlineStr">
        <is>
          <t>End-to-end stage orchestration and lifecycle transitions</t>
        </is>
      </c>
      <c r="E50" s="123" t="inlineStr">
        <is>
          <t>Coordinate completeness, extraction, HITL, validation, exception/override, approval/tax, SAP parking and status sync.</t>
        </is>
      </c>
      <c r="F50" s="66" t="inlineStr">
        <is>
          <t>01-Oct-26</t>
        </is>
      </c>
      <c r="G50" s="66" t="inlineStr">
        <is>
          <t>14-Oct-26</t>
        </is>
      </c>
      <c r="H50" s="66" t="n"/>
      <c r="I50" s="66" t="n"/>
      <c r="J50" s="87" t="n"/>
      <c r="K50" s="88" t="inlineStr">
        <is>
          <t>Not Started</t>
        </is>
      </c>
      <c r="L50" s="124" t="inlineStr">
        <is>
          <t>0%</t>
        </is>
      </c>
      <c r="M50" s="89" t="inlineStr">
        <is>
          <t>BE + DB</t>
        </is>
      </c>
      <c r="N50" s="123" t="n"/>
      <c r="O50" s="123" t="n"/>
    </row>
    <row r="51" hidden="1" ht="31.5" customHeight="1">
      <c r="A51" s="82" t="n">
        <v>39</v>
      </c>
      <c r="B51" s="125" t="inlineStr">
        <is>
          <t>Azure OpenAI Processing</t>
        </is>
      </c>
      <c r="C51" s="34" t="inlineStr">
        <is>
          <t>Azure OpenAI Integration</t>
        </is>
      </c>
      <c r="D51" s="34" t="inlineStr">
        <is>
          <t>Azure OpenAI client, deployment and secure connectivity</t>
        </is>
      </c>
      <c r="E51" s="97" t="inlineStr">
        <is>
          <t>Integrate Node.js with approved Azure OpenAI deployment including credentials, endpoint, model config and timeout controls.</t>
        </is>
      </c>
      <c r="F51" s="68" t="inlineStr">
        <is>
          <t>17-Sep-26</t>
        </is>
      </c>
      <c r="G51" s="68" t="inlineStr">
        <is>
          <t>30-Sep-26</t>
        </is>
      </c>
      <c r="H51" s="68" t="n"/>
      <c r="I51" s="68" t="n"/>
      <c r="J51" s="87" t="n"/>
      <c r="K51" s="88" t="inlineStr">
        <is>
          <t>Not Started</t>
        </is>
      </c>
      <c r="L51" s="126" t="inlineStr">
        <is>
          <t>0%</t>
        </is>
      </c>
      <c r="M51" s="89" t="inlineStr">
        <is>
          <t>BE + AI</t>
        </is>
      </c>
      <c r="N51" s="97" t="n"/>
      <c r="O51" s="97" t="n"/>
    </row>
    <row r="52" hidden="1" ht="31.5" customHeight="1">
      <c r="A52" s="100" t="n">
        <v>40</v>
      </c>
      <c r="B52" s="125" t="inlineStr">
        <is>
          <t>Azure OpenAI Processing</t>
        </is>
      </c>
      <c r="C52" s="34" t="inlineStr">
        <is>
          <t>Dynamic Prompting</t>
        </is>
      </c>
      <c r="D52" s="34" t="inlineStr">
        <is>
          <t>Dynamic prompt and structured schema generation</t>
        </is>
      </c>
      <c r="E52" s="97" t="inlineStr">
        <is>
          <t>Build prompts from category, document type, published field schema, configured instructions and extraction contract.</t>
        </is>
      </c>
      <c r="F52" s="68" t="inlineStr">
        <is>
          <t>17-Sep-26</t>
        </is>
      </c>
      <c r="G52" s="68" t="inlineStr">
        <is>
          <t>30-Sep-26</t>
        </is>
      </c>
      <c r="H52" s="68" t="n"/>
      <c r="I52" s="68" t="n"/>
      <c r="J52" s="87" t="n"/>
      <c r="K52" s="88" t="inlineStr">
        <is>
          <t>Not Started</t>
        </is>
      </c>
      <c r="L52" s="126" t="inlineStr">
        <is>
          <t>0%</t>
        </is>
      </c>
      <c r="M52" s="89" t="inlineStr">
        <is>
          <t>BE + AI</t>
        </is>
      </c>
      <c r="N52" s="97" t="inlineStr">
        <is>
          <t>INP-003 — Field schema from ESSA pending</t>
        </is>
      </c>
      <c r="O52" s="97" t="n"/>
    </row>
    <row r="53" hidden="1" ht="31.5" customHeight="1">
      <c r="A53" s="82" t="n">
        <v>41</v>
      </c>
      <c r="B53" s="125" t="inlineStr">
        <is>
          <t>Azure OpenAI Processing</t>
        </is>
      </c>
      <c r="C53" s="34" t="inlineStr">
        <is>
          <t>Document Extraction</t>
        </is>
      </c>
      <c r="D53" s="34" t="inlineStr">
        <is>
          <t>Native/scanned/image/handwritten document extraction</t>
        </is>
      </c>
      <c r="E53" s="97" t="inlineStr">
        <is>
          <t>Process English/Bahasa native PDFs, scanned/image PDFs and handwritten content through Azure OpenAI for structured extraction.</t>
        </is>
      </c>
      <c r="F53" s="68" t="inlineStr">
        <is>
          <t>17-Sep-26</t>
        </is>
      </c>
      <c r="G53" s="68" t="inlineStr">
        <is>
          <t>30-Sep-26</t>
        </is>
      </c>
      <c r="H53" s="68" t="n"/>
      <c r="I53" s="68" t="n"/>
      <c r="J53" s="87" t="n"/>
      <c r="K53" s="88" t="inlineStr">
        <is>
          <t>Not Started</t>
        </is>
      </c>
      <c r="L53" s="126" t="inlineStr">
        <is>
          <t>0%</t>
        </is>
      </c>
      <c r="M53" s="89" t="inlineStr">
        <is>
          <t>BE + AI</t>
        </is>
      </c>
      <c r="N53" s="97" t="n"/>
      <c r="O53" s="97" t="n"/>
    </row>
    <row r="54" hidden="1" ht="31.5" customHeight="1">
      <c r="A54" s="82" t="n">
        <v>42</v>
      </c>
      <c r="B54" s="125" t="inlineStr">
        <is>
          <t>Azure OpenAI Processing</t>
        </is>
      </c>
      <c r="C54" s="34" t="inlineStr">
        <is>
          <t>Response Normalization</t>
        </is>
      </c>
      <c r="D54" s="34" t="inlineStr">
        <is>
          <t>Schema validation, normalization and confidence handling</t>
        </is>
      </c>
      <c r="E54" s="97" t="inlineStr">
        <is>
          <t>Validate model output schema and normalize dates, numbers, currencies, text and confidence/uncertainty indicators.</t>
        </is>
      </c>
      <c r="F54" s="68" t="inlineStr">
        <is>
          <t>17-Sep-26</t>
        </is>
      </c>
      <c r="G54" s="68" t="inlineStr">
        <is>
          <t>30-Sep-26</t>
        </is>
      </c>
      <c r="H54" s="68" t="n"/>
      <c r="I54" s="68" t="n"/>
      <c r="J54" s="87" t="n"/>
      <c r="K54" s="88" t="inlineStr">
        <is>
          <t>Not Started</t>
        </is>
      </c>
      <c r="L54" s="126" t="inlineStr">
        <is>
          <t>0%</t>
        </is>
      </c>
      <c r="M54" s="89" t="inlineStr">
        <is>
          <t>BE + AI</t>
        </is>
      </c>
      <c r="N54" s="97" t="n"/>
      <c r="O54" s="97" t="n"/>
    </row>
    <row r="55" hidden="1" ht="31.5" customHeight="1">
      <c r="A55" s="82" t="n">
        <v>43</v>
      </c>
      <c r="B55" s="125" t="inlineStr">
        <is>
          <t>Azure OpenAI Processing</t>
        </is>
      </c>
      <c r="C55" s="34" t="inlineStr">
        <is>
          <t>AI Reliability &amp; Usage</t>
        </is>
      </c>
      <c r="D55" s="34" t="inlineStr">
        <is>
          <t>Retry, throttling, failures and token-usage capture</t>
        </is>
      </c>
      <c r="E55" s="97" t="inlineStr">
        <is>
          <t>Implement retry/backoff, throttling, timeout/failure handling and input/output token/usage metadata capture.</t>
        </is>
      </c>
      <c r="F55" s="68" t="inlineStr">
        <is>
          <t>17-Sep-26</t>
        </is>
      </c>
      <c r="G55" s="68" t="inlineStr">
        <is>
          <t>30-Sep-26</t>
        </is>
      </c>
      <c r="H55" s="68" t="n"/>
      <c r="I55" s="68" t="n"/>
      <c r="J55" s="87" t="n"/>
      <c r="K55" s="88" t="inlineStr">
        <is>
          <t>Not Started</t>
        </is>
      </c>
      <c r="L55" s="126" t="inlineStr">
        <is>
          <t>0%</t>
        </is>
      </c>
      <c r="M55" s="89" t="inlineStr">
        <is>
          <t>BE + AI</t>
        </is>
      </c>
      <c r="N55" s="97" t="n"/>
      <c r="O55" s="97" t="n"/>
    </row>
    <row r="56" hidden="1" ht="31.5" customHeight="1">
      <c r="A56" s="100" t="n">
        <v>44</v>
      </c>
      <c r="B56" s="127" t="inlineStr">
        <is>
          <t>HITL / Extraction Review</t>
        </is>
      </c>
      <c r="C56" s="128" t="inlineStr">
        <is>
          <t>Review Queue</t>
        </is>
      </c>
      <c r="D56" s="128" t="inlineStr">
        <is>
          <t>Low-confidence/manual review queue with team routing</t>
        </is>
      </c>
      <c r="E56" s="129" t="inlineStr">
        <is>
          <t>Create review queues and assignment/routing for Material, Service, Site or other configured reviewer groups.</t>
        </is>
      </c>
      <c r="F56" s="70" t="inlineStr">
        <is>
          <t>01-Oct-26</t>
        </is>
      </c>
      <c r="G56" s="70" t="inlineStr">
        <is>
          <t>14-Oct-26</t>
        </is>
      </c>
      <c r="H56" s="70" t="n"/>
      <c r="I56" s="70" t="n"/>
      <c r="J56" s="87" t="n"/>
      <c r="K56" s="88" t="inlineStr">
        <is>
          <t>Not Started</t>
        </is>
      </c>
      <c r="L56" s="130" t="inlineStr">
        <is>
          <t>0%</t>
        </is>
      </c>
      <c r="M56" s="86" t="inlineStr">
        <is>
          <t>FE + BE + DB</t>
        </is>
      </c>
      <c r="N56" s="129" t="n"/>
      <c r="O56" s="129" t="n"/>
    </row>
    <row r="57" hidden="1" ht="31.5" customHeight="1">
      <c r="A57" s="82" t="n">
        <v>45</v>
      </c>
      <c r="B57" s="127" t="inlineStr">
        <is>
          <t>HITL / Extraction Review</t>
        </is>
      </c>
      <c r="C57" s="128" t="inlineStr">
        <is>
          <t>Review Workspace</t>
        </is>
      </c>
      <c r="D57" s="128" t="inlineStr">
        <is>
          <t>Document-to-field verification and correction workspace</t>
        </is>
      </c>
      <c r="E57" s="129" t="inlineStr">
        <is>
          <t>Display source document preview alongside extracted fields/confidence and allow controlled field corrections.</t>
        </is>
      </c>
      <c r="F57" s="70" t="inlineStr">
        <is>
          <t>01-Oct-26</t>
        </is>
      </c>
      <c r="G57" s="70" t="inlineStr">
        <is>
          <t>14-Oct-26</t>
        </is>
      </c>
      <c r="H57" s="70" t="n"/>
      <c r="I57" s="70" t="n"/>
      <c r="J57" s="87" t="n"/>
      <c r="K57" s="88" t="inlineStr">
        <is>
          <t>Not Started</t>
        </is>
      </c>
      <c r="L57" s="130" t="inlineStr">
        <is>
          <t>0%</t>
        </is>
      </c>
      <c r="M57" s="86" t="inlineStr">
        <is>
          <t>FE + BE</t>
        </is>
      </c>
      <c r="N57" s="129" t="n"/>
      <c r="O57" s="129" t="n"/>
    </row>
    <row r="58" hidden="1" ht="31.5" customHeight="1">
      <c r="A58" s="82" t="n">
        <v>46</v>
      </c>
      <c r="B58" s="127" t="inlineStr">
        <is>
          <t>HITL / Extraction Review</t>
        </is>
      </c>
      <c r="C58" s="128" t="inlineStr">
        <is>
          <t>Correction Commit</t>
        </is>
      </c>
      <c r="D58" s="128" t="inlineStr">
        <is>
          <t>Correction versioning, audit and downstream re-entry</t>
        </is>
      </c>
      <c r="E58" s="129" t="inlineStr">
        <is>
          <t>Persist before/after correction values, reviewer identity/reason and re-enter downstream processing from correct stage.</t>
        </is>
      </c>
      <c r="F58" s="70" t="inlineStr">
        <is>
          <t>01-Oct-26</t>
        </is>
      </c>
      <c r="G58" s="70" t="inlineStr">
        <is>
          <t>14-Oct-26</t>
        </is>
      </c>
      <c r="H58" s="70" t="n"/>
      <c r="I58" s="70" t="n"/>
      <c r="J58" s="87" t="n"/>
      <c r="K58" s="88" t="inlineStr">
        <is>
          <t>Not Started</t>
        </is>
      </c>
      <c r="L58" s="130" t="inlineStr">
        <is>
          <t>0%</t>
        </is>
      </c>
      <c r="M58" s="89" t="inlineStr">
        <is>
          <t>BE + DB</t>
        </is>
      </c>
      <c r="N58" s="129" t="n"/>
      <c r="O58" s="129" t="n"/>
    </row>
    <row r="59" hidden="1" ht="31.5" customHeight="1">
      <c r="A59" s="82" t="n">
        <v>47</v>
      </c>
      <c r="B59" s="131" t="inlineStr">
        <is>
          <t>Core Validation Engine</t>
        </is>
      </c>
      <c r="C59" s="132" t="inlineStr">
        <is>
          <t>Rule Framework</t>
        </is>
      </c>
      <c r="D59" s="132" t="inlineStr">
        <is>
          <t>Deterministic validation execution framework</t>
        </is>
      </c>
      <c r="E59" s="133" t="inlineStr">
        <is>
          <t>Implement reusable rule execution, context loading, applicability, parameter/tolerance resolution and result persistence.</t>
        </is>
      </c>
      <c r="F59" s="72" t="inlineStr">
        <is>
          <t>01-Oct-26</t>
        </is>
      </c>
      <c r="G59" s="72" t="inlineStr">
        <is>
          <t>14-Oct-26</t>
        </is>
      </c>
      <c r="H59" s="72" t="n"/>
      <c r="I59" s="72" t="n"/>
      <c r="J59" s="87" t="n"/>
      <c r="K59" s="88" t="inlineStr">
        <is>
          <t>Not Started</t>
        </is>
      </c>
      <c r="L59" s="134" t="inlineStr">
        <is>
          <t>0%</t>
        </is>
      </c>
      <c r="M59" s="89" t="inlineStr">
        <is>
          <t>BE + DB</t>
        </is>
      </c>
      <c r="N59" s="133" t="n"/>
      <c r="O59" s="133" t="n"/>
    </row>
    <row r="60" hidden="1" ht="31.5" customHeight="1">
      <c r="A60" s="100" t="n">
        <v>48</v>
      </c>
      <c r="B60" s="131" t="inlineStr">
        <is>
          <t>Core Validation Engine</t>
        </is>
      </c>
      <c r="C60" s="132" t="inlineStr">
        <is>
          <t>Document Completeness</t>
        </is>
      </c>
      <c r="D60" s="132" t="inlineStr">
        <is>
          <t>Mandatory and conditional document completeness validation</t>
        </is>
      </c>
      <c r="E60" s="133" t="inlineStr">
        <is>
          <t>Evaluate required/optional/conditional document availability by category and PO terms before extraction continuation.</t>
        </is>
      </c>
      <c r="F60" s="72" t="inlineStr">
        <is>
          <t>01-Oct-26</t>
        </is>
      </c>
      <c r="G60" s="72" t="inlineStr">
        <is>
          <t>14-Oct-26</t>
        </is>
      </c>
      <c r="H60" s="72" t="n"/>
      <c r="I60" s="72" t="n"/>
      <c r="J60" s="87" t="n"/>
      <c r="K60" s="88" t="inlineStr">
        <is>
          <t>Not Started</t>
        </is>
      </c>
      <c r="L60" s="134" t="inlineStr">
        <is>
          <t>0%</t>
        </is>
      </c>
      <c r="M60" s="89" t="inlineStr">
        <is>
          <t>BE + DB</t>
        </is>
      </c>
      <c r="N60" s="97" t="inlineStr">
        <is>
          <t>INP-002 — Document matrix from ESSA pending</t>
        </is>
      </c>
      <c r="O60" s="133" t="n"/>
    </row>
    <row r="61" hidden="1" ht="31.5" customHeight="1">
      <c r="A61" s="82" t="n">
        <v>49</v>
      </c>
      <c r="B61" s="131" t="inlineStr">
        <is>
          <t>Core Validation Engine</t>
        </is>
      </c>
      <c r="C61" s="132" t="inlineStr">
        <is>
          <t>SAP Reference Matching</t>
        </is>
      </c>
      <c r="D61" s="132" t="inlineStr">
        <is>
          <t>PO, GRN and SES header/line reference matching</t>
        </is>
      </c>
      <c r="E61" s="133" t="inlineStr">
        <is>
          <t>Validate configured PO/GRN/SES identifiers, line quantities/values and reference attributes against synchronized snapshots.</t>
        </is>
      </c>
      <c r="F61" s="72" t="inlineStr">
        <is>
          <t>01-Oct-26</t>
        </is>
      </c>
      <c r="G61" s="72" t="inlineStr">
        <is>
          <t>14-Oct-26</t>
        </is>
      </c>
      <c r="H61" s="72" t="n"/>
      <c r="I61" s="72" t="n"/>
      <c r="J61" s="87" t="n"/>
      <c r="K61" s="88" t="inlineStr">
        <is>
          <t>Not Started</t>
        </is>
      </c>
      <c r="L61" s="134" t="inlineStr">
        <is>
          <t>0%</t>
        </is>
      </c>
      <c r="M61" s="89" t="inlineStr">
        <is>
          <t>BE + DB</t>
        </is>
      </c>
      <c r="N61" s="97" t="inlineStr">
        <is>
          <t>INP-009 — SAP objects from ESSA SAP team</t>
        </is>
      </c>
      <c r="O61" s="133" t="n"/>
    </row>
    <row r="62" hidden="1" ht="31.5" customHeight="1">
      <c r="A62" s="82" t="n">
        <v>50</v>
      </c>
      <c r="B62" s="131" t="inlineStr">
        <is>
          <t>Core Validation Engine</t>
        </is>
      </c>
      <c r="C62" s="132" t="inlineStr">
        <is>
          <t>Financial Arithmetic</t>
        </is>
      </c>
      <c r="D62" s="132" t="inlineStr">
        <is>
          <t>Quantity, subtotal, amount, VAT/tax arithmetic and reconciliation</t>
        </is>
      </c>
      <c r="E62" s="133" t="inlineStr">
        <is>
          <t>Implement deterministic quantity, subtotal, amount, total-excl-tax and VAT/tax arithmetic/reconciliation checks.</t>
        </is>
      </c>
      <c r="F62" s="72" t="inlineStr">
        <is>
          <t>01-Oct-26</t>
        </is>
      </c>
      <c r="G62" s="72" t="inlineStr">
        <is>
          <t>14-Oct-26</t>
        </is>
      </c>
      <c r="H62" s="72" t="n"/>
      <c r="I62" s="72" t="n"/>
      <c r="J62" s="87" t="n"/>
      <c r="K62" s="88" t="inlineStr">
        <is>
          <t>Not Started</t>
        </is>
      </c>
      <c r="L62" s="134" t="inlineStr">
        <is>
          <t>0%</t>
        </is>
      </c>
      <c r="M62" s="89" t="inlineStr">
        <is>
          <t>BE + DB</t>
        </is>
      </c>
      <c r="N62" s="133" t="n"/>
      <c r="O62" s="133" t="n"/>
    </row>
    <row r="63" hidden="1" ht="31.5" customHeight="1">
      <c r="A63" s="82" t="n">
        <v>51</v>
      </c>
      <c r="B63" s="131" t="inlineStr">
        <is>
          <t>Core Validation Engine</t>
        </is>
      </c>
      <c r="C63" s="132" t="inlineStr">
        <is>
          <t>SES &amp; Tolerance</t>
        </is>
      </c>
      <c r="D63" s="132" t="inlineStr">
        <is>
          <t>SES and configured tolerance validation</t>
        </is>
      </c>
      <c r="E63" s="133" t="inlineStr">
        <is>
          <t>Implement SES-specific tolerance calculations including invoice subtotal, total excluding VAT, tolerance amount and difference.</t>
        </is>
      </c>
      <c r="F63" s="72" t="inlineStr">
        <is>
          <t>01-Oct-26</t>
        </is>
      </c>
      <c r="G63" s="72" t="inlineStr">
        <is>
          <t>14-Oct-26</t>
        </is>
      </c>
      <c r="H63" s="72" t="n"/>
      <c r="I63" s="72" t="n"/>
      <c r="J63" s="87" t="n"/>
      <c r="K63" s="88" t="inlineStr">
        <is>
          <t>Not Started</t>
        </is>
      </c>
      <c r="L63" s="134" t="inlineStr">
        <is>
          <t>0%</t>
        </is>
      </c>
      <c r="M63" s="89" t="inlineStr">
        <is>
          <t>BE + DB</t>
        </is>
      </c>
      <c r="N63" s="133" t="n"/>
      <c r="O63" s="133" t="n"/>
    </row>
    <row r="64" hidden="1" ht="31.5" customHeight="1">
      <c r="A64" s="100" t="n">
        <v>52</v>
      </c>
      <c r="B64" s="131" t="inlineStr">
        <is>
          <t>Core Validation Engine</t>
        </is>
      </c>
      <c r="C64" s="132" t="inlineStr">
        <is>
          <t>Cross-Document Validation</t>
        </is>
      </c>
      <c r="D64" s="132" t="inlineStr">
        <is>
          <t>N-way and cross-document reconciliation framework</t>
        </is>
      </c>
      <c r="E64" s="133" t="inlineStr">
        <is>
          <t>Compare configured fields and calculated values across invoice/supporting documents and synchronized SAP reference data.</t>
        </is>
      </c>
      <c r="F64" s="72" t="inlineStr">
        <is>
          <t>01-Oct-26</t>
        </is>
      </c>
      <c r="G64" s="72" t="inlineStr">
        <is>
          <t>14-Oct-26</t>
        </is>
      </c>
      <c r="H64" s="72" t="n"/>
      <c r="I64" s="72" t="n"/>
      <c r="J64" s="87" t="n"/>
      <c r="K64" s="88" t="inlineStr">
        <is>
          <t>Not Started</t>
        </is>
      </c>
      <c r="L64" s="134" t="inlineStr">
        <is>
          <t>0%</t>
        </is>
      </c>
      <c r="M64" s="89" t="inlineStr">
        <is>
          <t>BE + DB</t>
        </is>
      </c>
      <c r="N64" s="133" t="n"/>
      <c r="O64" s="133" t="n"/>
    </row>
    <row r="65" hidden="1" ht="31.5" customHeight="1">
      <c r="A65" s="82" t="n">
        <v>53</v>
      </c>
      <c r="B65" s="131" t="inlineStr">
        <is>
          <t>Core Validation Engine</t>
        </is>
      </c>
      <c r="C65" s="132" t="inlineStr">
        <is>
          <t>Validation Outcome</t>
        </is>
      </c>
      <c r="D65" s="132" t="inlineStr">
        <is>
          <t>Result aggregation, error catalogue and controlled revalidation</t>
        </is>
      </c>
      <c r="E65" s="133" t="inlineStr">
        <is>
          <t>Aggregate individual rule outcomes, assign outcome codes, retain prior runs and support controlled revalidation.</t>
        </is>
      </c>
      <c r="F65" s="72" t="inlineStr">
        <is>
          <t>01-Oct-26</t>
        </is>
      </c>
      <c r="G65" s="72" t="inlineStr">
        <is>
          <t>14-Oct-26</t>
        </is>
      </c>
      <c r="H65" s="72" t="n"/>
      <c r="I65" s="72" t="n"/>
      <c r="J65" s="87" t="n"/>
      <c r="K65" s="88" t="inlineStr">
        <is>
          <t>Not Started</t>
        </is>
      </c>
      <c r="L65" s="134" t="inlineStr">
        <is>
          <t>0%</t>
        </is>
      </c>
      <c r="M65" s="89" t="inlineStr">
        <is>
          <t>BE + DB</t>
        </is>
      </c>
      <c r="N65" s="133" t="n"/>
      <c r="O65" s="133" t="n"/>
    </row>
    <row r="66" hidden="1" ht="31.5" customHeight="1">
      <c r="A66" s="82" t="n">
        <v>54</v>
      </c>
      <c r="B66" s="135" t="inlineStr">
        <is>
          <t>Exception Management</t>
        </is>
      </c>
      <c r="C66" s="136" t="inlineStr">
        <is>
          <t>Exception Workbench</t>
        </is>
      </c>
      <c r="D66" s="136" t="inlineStr">
        <is>
          <t>Processing/validation exception workbench</t>
        </is>
      </c>
      <c r="E66" s="137" t="inlineStr">
        <is>
          <t>Provide searchable/filterable exception queue with invoice/document context, failure reason, owner/state and resolution actions.</t>
        </is>
      </c>
      <c r="F66" s="74" t="inlineStr">
        <is>
          <t>15-Oct-26</t>
        </is>
      </c>
      <c r="G66" s="74" t="inlineStr">
        <is>
          <t>21-Oct-26</t>
        </is>
      </c>
      <c r="H66" s="74" t="n"/>
      <c r="I66" s="74" t="n"/>
      <c r="J66" s="87" t="n"/>
      <c r="K66" s="88" t="inlineStr">
        <is>
          <t>Not Started</t>
        </is>
      </c>
      <c r="L66" s="138" t="inlineStr">
        <is>
          <t>0%</t>
        </is>
      </c>
      <c r="M66" s="86" t="inlineStr">
        <is>
          <t>FE + BE</t>
        </is>
      </c>
      <c r="N66" s="137" t="n"/>
      <c r="O66" s="137" t="n"/>
    </row>
    <row r="67" hidden="1" ht="31.5" customHeight="1">
      <c r="A67" s="82" t="n">
        <v>55</v>
      </c>
      <c r="B67" s="135" t="inlineStr">
        <is>
          <t>Exception Management</t>
        </is>
      </c>
      <c r="C67" s="136" t="inlineStr">
        <is>
          <t>Override &amp; Resolution</t>
        </is>
      </c>
      <c r="D67" s="136" t="inlineStr">
        <is>
          <t>Controlled override, remarks, resubmission and re-entry</t>
        </is>
      </c>
      <c r="E67" s="137" t="inlineStr">
        <is>
          <t>Allow authorized override of eligible exceptions with mandatory reason; support correction/resubmission and controlled re-entry.</t>
        </is>
      </c>
      <c r="F67" s="74" t="inlineStr">
        <is>
          <t>15-Oct-26</t>
        </is>
      </c>
      <c r="G67" s="74" t="inlineStr">
        <is>
          <t>21-Oct-26</t>
        </is>
      </c>
      <c r="H67" s="74" t="n"/>
      <c r="I67" s="74" t="n"/>
      <c r="J67" s="87" t="n"/>
      <c r="K67" s="88" t="inlineStr">
        <is>
          <t>Not Started</t>
        </is>
      </c>
      <c r="L67" s="138" t="inlineStr">
        <is>
          <t>0%</t>
        </is>
      </c>
      <c r="M67" s="86" t="inlineStr">
        <is>
          <t>FE + BE + DB</t>
        </is>
      </c>
      <c r="N67" s="137" t="n"/>
      <c r="O67" s="137" t="n"/>
    </row>
    <row r="68" hidden="1" ht="31.5" customHeight="1">
      <c r="A68" s="100" t="n">
        <v>56</v>
      </c>
      <c r="B68" s="139" t="inlineStr">
        <is>
          <t>Category-Specific Processing</t>
        </is>
      </c>
      <c r="C68" s="140" t="inlineStr">
        <is>
          <t>Manpower</t>
        </is>
      </c>
      <c r="D68" s="140" t="inlineStr">
        <is>
          <t>Manpower invoice N-way reconciliation</t>
        </is>
      </c>
      <c r="E68" s="141" t="inlineStr">
        <is>
          <t>Implement timesheet, manhour summary, WPC/BA, biometric/attendance, SES and invoice reconciliation logic.</t>
        </is>
      </c>
      <c r="F68" s="76" t="inlineStr">
        <is>
          <t>01-Oct-26</t>
        </is>
      </c>
      <c r="G68" s="76" t="inlineStr">
        <is>
          <t>14-Oct-26</t>
        </is>
      </c>
      <c r="H68" s="76" t="n"/>
      <c r="I68" s="76" t="n"/>
      <c r="J68" s="87" t="n"/>
      <c r="K68" s="88" t="inlineStr">
        <is>
          <t>Not Started</t>
        </is>
      </c>
      <c r="L68" s="142" t="inlineStr">
        <is>
          <t>0%</t>
        </is>
      </c>
      <c r="M68" s="89" t="inlineStr">
        <is>
          <t>BE + DB</t>
        </is>
      </c>
      <c r="N68" s="97" t="inlineStr">
        <is>
          <t>INP-018 — Biometric interface from ESSA IT; INP-020 — samples from ESSA</t>
        </is>
      </c>
      <c r="O68" s="141" t="n"/>
    </row>
    <row r="69" hidden="1" ht="31.5" customHeight="1">
      <c r="A69" s="82" t="n">
        <v>57</v>
      </c>
      <c r="B69" s="139" t="inlineStr">
        <is>
          <t>Category-Specific Processing</t>
        </is>
      </c>
      <c r="C69" s="140" t="inlineStr">
        <is>
          <t>Civil Contractor</t>
        </is>
      </c>
      <c r="D69" s="140" t="inlineStr">
        <is>
          <t>Civil contractor progress/WPC validation</t>
        </is>
      </c>
      <c r="E69" s="141" t="inlineStr">
        <is>
          <t>Implement progress/WPC, SES, licence/supporting-document, retention, advance and LD-related validation flow.</t>
        </is>
      </c>
      <c r="F69" s="76" t="inlineStr">
        <is>
          <t>01-Oct-26</t>
        </is>
      </c>
      <c r="G69" s="76" t="inlineStr">
        <is>
          <t>14-Oct-26</t>
        </is>
      </c>
      <c r="H69" s="76" t="n"/>
      <c r="I69" s="76" t="n"/>
      <c r="J69" s="87" t="n"/>
      <c r="K69" s="88" t="inlineStr">
        <is>
          <t>Not Started</t>
        </is>
      </c>
      <c r="L69" s="142" t="inlineStr">
        <is>
          <t>0%</t>
        </is>
      </c>
      <c r="M69" s="89" t="inlineStr">
        <is>
          <t>BE + DB</t>
        </is>
      </c>
      <c r="N69" s="97" t="inlineStr">
        <is>
          <t>INP-008 — LD matrix from ESSA; INP-020 — samples</t>
        </is>
      </c>
      <c r="O69" s="141" t="n"/>
    </row>
    <row r="70" hidden="1" ht="31.5" customHeight="1">
      <c r="A70" s="82" t="n">
        <v>58</v>
      </c>
      <c r="B70" s="139" t="inlineStr">
        <is>
          <t>Category-Specific Processing</t>
        </is>
      </c>
      <c r="C70" s="140" t="inlineStr">
        <is>
          <t>Material Domestic / Import</t>
        </is>
      </c>
      <c r="D70" s="140" t="inlineStr">
        <is>
          <t>Material invoice, shipping and LD/Incoterm validation</t>
        </is>
      </c>
      <c r="E70" s="141" t="inlineStr">
        <is>
          <t>Implement domestic/import material reconciliation across PO/GRN/invoice and applicable AWB/BL, QC/FAT and LD/Incoterm.</t>
        </is>
      </c>
      <c r="F70" s="76" t="inlineStr">
        <is>
          <t>01-Oct-26</t>
        </is>
      </c>
      <c r="G70" s="76" t="inlineStr">
        <is>
          <t>14-Oct-26</t>
        </is>
      </c>
      <c r="H70" s="76" t="n"/>
      <c r="I70" s="76" t="n"/>
      <c r="J70" s="87" t="n"/>
      <c r="K70" s="88" t="inlineStr">
        <is>
          <t>Not Started</t>
        </is>
      </c>
      <c r="L70" s="142" t="inlineStr">
        <is>
          <t>0%</t>
        </is>
      </c>
      <c r="M70" s="89" t="inlineStr">
        <is>
          <t>BE + DB</t>
        </is>
      </c>
      <c r="N70" s="97" t="inlineStr">
        <is>
          <t>INP-008 — 17-incoterm LD matrix from ESSA pending</t>
        </is>
      </c>
      <c r="O70" s="141" t="n"/>
    </row>
    <row r="71" hidden="1" ht="31.5" customHeight="1">
      <c r="A71" s="82" t="n">
        <v>59</v>
      </c>
      <c r="B71" s="139" t="inlineStr">
        <is>
          <t>Category-Specific Processing</t>
        </is>
      </c>
      <c r="C71" s="140" t="inlineStr">
        <is>
          <t>Catering / Camp / Housekeeping</t>
        </is>
      </c>
      <c r="D71" s="140" t="inlineStr">
        <is>
          <t>Attendance, meal and service reconciliation</t>
        </is>
      </c>
      <c r="E71" s="141" t="inlineStr">
        <is>
          <t>Implement reconciliation for catering/camp meal counts and housekeeping service records using biometric/manual registers.</t>
        </is>
      </c>
      <c r="F71" s="76" t="inlineStr">
        <is>
          <t>01-Oct-26</t>
        </is>
      </c>
      <c r="G71" s="76" t="inlineStr">
        <is>
          <t>14-Oct-26</t>
        </is>
      </c>
      <c r="H71" s="76" t="n"/>
      <c r="I71" s="76" t="n"/>
      <c r="J71" s="87" t="n"/>
      <c r="K71" s="88" t="inlineStr">
        <is>
          <t>Not Started</t>
        </is>
      </c>
      <c r="L71" s="142" t="inlineStr">
        <is>
          <t>0%</t>
        </is>
      </c>
      <c r="M71" s="89" t="inlineStr">
        <is>
          <t>BE + DB</t>
        </is>
      </c>
      <c r="N71" s="97" t="inlineStr">
        <is>
          <t>INP-018 — Biometric interface; INP-020 — samples</t>
        </is>
      </c>
      <c r="O71" s="141" t="n"/>
    </row>
    <row r="72" hidden="1" ht="31.5" customHeight="1">
      <c r="A72" s="100" t="n">
        <v>60</v>
      </c>
      <c r="B72" s="139" t="inlineStr">
        <is>
          <t>Category-Specific Processing</t>
        </is>
      </c>
      <c r="C72" s="140" t="inlineStr">
        <is>
          <t>Travel &amp; Other Non-PO</t>
        </is>
      </c>
      <c r="D72" s="140" t="inlineStr">
        <is>
          <t>Travel/HCIS and non-PO service reconciliation</t>
        </is>
      </c>
      <c r="E72" s="141" t="inlineStr">
        <is>
          <t>Implement Travel Non-PO/HCIS clearing validation and patterns for consultant, rental, medical, telecom and hotel.</t>
        </is>
      </c>
      <c r="F72" s="76" t="inlineStr">
        <is>
          <t>01-Oct-26</t>
        </is>
      </c>
      <c r="G72" s="76" t="inlineStr">
        <is>
          <t>14-Oct-26</t>
        </is>
      </c>
      <c r="H72" s="76" t="n"/>
      <c r="I72" s="76" t="n"/>
      <c r="J72" s="87" t="n"/>
      <c r="K72" s="88" t="inlineStr">
        <is>
          <t>Not Started</t>
        </is>
      </c>
      <c r="L72" s="142" t="inlineStr">
        <is>
          <t>0%</t>
        </is>
      </c>
      <c r="M72" s="89" t="inlineStr">
        <is>
          <t>BE + DB</t>
        </is>
      </c>
      <c r="N72" s="97" t="inlineStr">
        <is>
          <t>INP-020 — samples from ESSA AP team</t>
        </is>
      </c>
      <c r="O72" s="141" t="n"/>
    </row>
    <row r="73" hidden="1" ht="31.5" customHeight="1">
      <c r="A73" s="82" t="n">
        <v>61</v>
      </c>
      <c r="B73" s="139" t="inlineStr">
        <is>
          <t>Category-Specific Processing</t>
        </is>
      </c>
      <c r="C73" s="140" t="inlineStr">
        <is>
          <t>Natural Gas</t>
        </is>
      </c>
      <c r="D73" s="140" t="inlineStr">
        <is>
          <t>Natural Gas tier/pricing validation</t>
        </is>
      </c>
      <c r="E73" s="141" t="inlineStr">
        <is>
          <t>Implement versioned ammonia/benchmark price-tier config, quantity/pricing formula and invoice reconciliation.</t>
        </is>
      </c>
      <c r="F73" s="76" t="inlineStr">
        <is>
          <t>01-Oct-26</t>
        </is>
      </c>
      <c r="G73" s="76" t="inlineStr">
        <is>
          <t>14-Oct-26</t>
        </is>
      </c>
      <c r="H73" s="76" t="n"/>
      <c r="I73" s="76" t="n"/>
      <c r="J73" s="87" t="n"/>
      <c r="K73" s="88" t="inlineStr">
        <is>
          <t>Not Started</t>
        </is>
      </c>
      <c r="L73" s="142" t="inlineStr">
        <is>
          <t>0%</t>
        </is>
      </c>
      <c r="M73" s="89" t="inlineStr">
        <is>
          <t>BE + DB</t>
        </is>
      </c>
      <c r="N73" s="97" t="inlineStr">
        <is>
          <t>INP-020 — NG price matrix from ESSA pending</t>
        </is>
      </c>
      <c r="O73" s="141" t="n"/>
    </row>
    <row r="74" hidden="1" ht="31.5" customHeight="1">
      <c r="A74" s="82" t="n">
        <v>62</v>
      </c>
      <c r="B74" s="139" t="inlineStr">
        <is>
          <t>Category-Specific Processing</t>
        </is>
      </c>
      <c r="C74" s="140" t="inlineStr">
        <is>
          <t>Composite PO</t>
        </is>
      </c>
      <c r="D74" s="140" t="inlineStr">
        <is>
          <t>Composite material/service PO reconciliation</t>
        </is>
      </c>
      <c r="E74" s="141" t="inlineStr">
        <is>
          <t>Reconcile material GRN and service SES components; split applicable values; calculate WHT on service portion only.</t>
        </is>
      </c>
      <c r="F74" s="76" t="inlineStr">
        <is>
          <t>01-Oct-26</t>
        </is>
      </c>
      <c r="G74" s="76" t="inlineStr">
        <is>
          <t>14-Oct-26</t>
        </is>
      </c>
      <c r="H74" s="76" t="n"/>
      <c r="I74" s="76" t="n"/>
      <c r="J74" s="87" t="n"/>
      <c r="K74" s="88" t="inlineStr">
        <is>
          <t>Not Started</t>
        </is>
      </c>
      <c r="L74" s="142" t="inlineStr">
        <is>
          <t>0%</t>
        </is>
      </c>
      <c r="M74" s="89" t="inlineStr">
        <is>
          <t>BE + DB</t>
        </is>
      </c>
      <c r="N74" s="97" t="inlineStr">
        <is>
          <t>INP-020 — samples from ESSA</t>
        </is>
      </c>
      <c r="O74" s="141" t="n"/>
    </row>
    <row r="75" hidden="1" ht="31.5" customHeight="1">
      <c r="A75" s="82" t="n">
        <v>63</v>
      </c>
      <c r="B75" s="30" t="inlineStr">
        <is>
          <t>Financial Adjustments &amp; Tax</t>
        </is>
      </c>
      <c r="C75" s="31" t="inlineStr">
        <is>
          <t>Retention &amp; Advance</t>
        </is>
      </c>
      <c r="D75" s="31" t="inlineStr">
        <is>
          <t>Retention and advance-payment recovery calculation/tracking</t>
        </is>
      </c>
      <c r="E75" s="83" t="inlineStr">
        <is>
          <t>Calculate applicable retention and advance recovery from approved config/reference values and retain history.</t>
        </is>
      </c>
      <c r="F75" s="54" t="inlineStr">
        <is>
          <t>01-Oct-26</t>
        </is>
      </c>
      <c r="G75" s="54" t="inlineStr">
        <is>
          <t>12-Oct-26</t>
        </is>
      </c>
      <c r="H75" s="54" t="n"/>
      <c r="I75" s="54" t="n"/>
      <c r="J75" s="87" t="n"/>
      <c r="K75" s="88" t="inlineStr">
        <is>
          <t>Not Started</t>
        </is>
      </c>
      <c r="L75" s="82" t="inlineStr">
        <is>
          <t>0%</t>
        </is>
      </c>
      <c r="M75" s="89" t="inlineStr">
        <is>
          <t>BE + DB</t>
        </is>
      </c>
      <c r="N75" s="83" t="n"/>
      <c r="O75" s="83" t="n"/>
    </row>
    <row r="76" hidden="1" ht="31.5" customHeight="1">
      <c r="A76" s="100" t="n">
        <v>64</v>
      </c>
      <c r="B76" s="30" t="inlineStr">
        <is>
          <t>Financial Adjustments &amp; Tax</t>
        </is>
      </c>
      <c r="C76" s="31" t="inlineStr">
        <is>
          <t>WHT / Treaty</t>
        </is>
      </c>
      <c r="D76" s="31" t="inlineStr">
        <is>
          <t>WHT, offshore/treaty and withholding-condition calculation</t>
        </is>
      </c>
      <c r="E76" s="83" t="inlineStr">
        <is>
          <t>Implement approved WHT logic including offshore identification, treaty mapping and configurable condition attributes.</t>
        </is>
      </c>
      <c r="F76" s="54" t="inlineStr">
        <is>
          <t>01-Oct-26</t>
        </is>
      </c>
      <c r="G76" s="54" t="inlineStr">
        <is>
          <t>12-Oct-26</t>
        </is>
      </c>
      <c r="H76" s="54" t="n"/>
      <c r="I76" s="54" t="n"/>
      <c r="J76" s="87" t="n"/>
      <c r="K76" s="88" t="inlineStr">
        <is>
          <t>Not Started</t>
        </is>
      </c>
      <c r="L76" s="82" t="inlineStr">
        <is>
          <t>0%</t>
        </is>
      </c>
      <c r="M76" s="89" t="inlineStr">
        <is>
          <t>BE + DB</t>
        </is>
      </c>
      <c r="N76" s="97" t="inlineStr">
        <is>
          <t>INP-007 — WHT/treaty mapping from ESSA Tax team</t>
        </is>
      </c>
      <c r="O76" s="83" t="n"/>
    </row>
    <row r="77" hidden="1" ht="31.5" customHeight="1">
      <c r="A77" s="82" t="n">
        <v>65</v>
      </c>
      <c r="B77" s="30" t="inlineStr">
        <is>
          <t>Financial Adjustments &amp; Tax</t>
        </is>
      </c>
      <c r="C77" s="31" t="inlineStr">
        <is>
          <t>Faktur Pajak</t>
        </is>
      </c>
      <c r="D77" s="31" t="inlineStr">
        <is>
          <t>Faktur Pajak format, age, uniqueness and tax-document validation</t>
        </is>
      </c>
      <c r="E77" s="83" t="inlineStr">
        <is>
          <t>Validate Faktur Pajak attributes including format/reference, age/effective-date rules and duplicate/uniqueness controls.</t>
        </is>
      </c>
      <c r="F77" s="54" t="inlineStr">
        <is>
          <t>01-Oct-26</t>
        </is>
      </c>
      <c r="G77" s="54" t="inlineStr">
        <is>
          <t>12-Oct-26</t>
        </is>
      </c>
      <c r="H77" s="54" t="n"/>
      <c r="I77" s="54" t="n"/>
      <c r="J77" s="87" t="n"/>
      <c r="K77" s="88" t="inlineStr">
        <is>
          <t>Not Started</t>
        </is>
      </c>
      <c r="L77" s="82" t="inlineStr">
        <is>
          <t>0%</t>
        </is>
      </c>
      <c r="M77" s="89" t="inlineStr">
        <is>
          <t>BE + DB</t>
        </is>
      </c>
      <c r="N77" s="97" t="inlineStr">
        <is>
          <t>INP-019 — Final Faktur Pajak rules from ESSA Tax</t>
        </is>
      </c>
      <c r="O77" s="83" t="n"/>
    </row>
    <row r="78" hidden="1" ht="31.5" customHeight="1">
      <c r="A78" s="82" t="n">
        <v>66</v>
      </c>
      <c r="B78" s="32" t="inlineStr">
        <is>
          <t>Vendor Controls</t>
        </is>
      </c>
      <c r="C78" s="33" t="inlineStr">
        <is>
          <t>SAP Negative Vendor</t>
        </is>
      </c>
      <c r="D78" s="33" t="inlineStr">
        <is>
          <t>Authoritative SAP Negative Vendor List hard-block</t>
        </is>
      </c>
      <c r="E78" s="94" t="inlineStr">
        <is>
          <t>Apply latest synchronized SAP Negative Vendor List snapshot as an inbound hard-block control.</t>
        </is>
      </c>
      <c r="F78" s="56" t="inlineStr">
        <is>
          <t>01-Oct-26</t>
        </is>
      </c>
      <c r="G78" s="56" t="inlineStr">
        <is>
          <t>14-Oct-26</t>
        </is>
      </c>
      <c r="H78" s="56" t="n"/>
      <c r="I78" s="56" t="n"/>
      <c r="J78" s="87" t="n"/>
      <c r="K78" s="88" t="inlineStr">
        <is>
          <t>Not Started</t>
        </is>
      </c>
      <c r="L78" s="100" t="inlineStr">
        <is>
          <t>0%</t>
        </is>
      </c>
      <c r="M78" s="89" t="inlineStr">
        <is>
          <t>BE + DB</t>
        </is>
      </c>
      <c r="N78" s="97" t="inlineStr">
        <is>
          <t>INP-009 — SAP objects from ESSA SAP team</t>
        </is>
      </c>
      <c r="O78" s="94" t="n"/>
    </row>
    <row r="79" hidden="1" ht="31.5" customHeight="1">
      <c r="A79" s="82" t="n">
        <v>67</v>
      </c>
      <c r="B79" s="32" t="inlineStr">
        <is>
          <t>Vendor Controls</t>
        </is>
      </c>
      <c r="C79" s="33" t="inlineStr">
        <is>
          <t>Vendor Master Controls</t>
        </is>
      </c>
      <c r="D79" s="33" t="inlineStr">
        <is>
          <t>Vendor bank-account change/mismatch and EAPA control overlay</t>
        </is>
      </c>
      <c r="E79" s="94" t="inlineStr">
        <is>
          <t>Detect vendor bank/account master mismatches and apply independent portal vendor-control/alert overlay.</t>
        </is>
      </c>
      <c r="F79" s="56" t="inlineStr">
        <is>
          <t>01-Oct-26</t>
        </is>
      </c>
      <c r="G79" s="56" t="inlineStr">
        <is>
          <t>14-Oct-26</t>
        </is>
      </c>
      <c r="H79" s="56" t="n"/>
      <c r="I79" s="56" t="n"/>
      <c r="J79" s="87" t="n"/>
      <c r="K79" s="88" t="inlineStr">
        <is>
          <t>Not Started</t>
        </is>
      </c>
      <c r="L79" s="100" t="inlineStr">
        <is>
          <t>0%</t>
        </is>
      </c>
      <c r="M79" s="89" t="inlineStr">
        <is>
          <t>BE + DB</t>
        </is>
      </c>
      <c r="N79" s="94" t="n"/>
      <c r="O79" s="94" t="n"/>
    </row>
    <row r="80" hidden="1" ht="31.5" customHeight="1">
      <c r="A80" s="100" t="n">
        <v>68</v>
      </c>
      <c r="B80" s="30" t="inlineStr">
        <is>
          <t>Biometric Integration</t>
        </is>
      </c>
      <c r="C80" s="31" t="inlineStr">
        <is>
          <t>Biometric Inbound API</t>
        </is>
      </c>
      <c r="D80" s="31" t="inlineStr">
        <is>
          <t>Secured biometric/attendance inbound integration</t>
        </is>
      </c>
      <c r="E80" s="83" t="inlineStr">
        <is>
          <t>Expose secured API for approved biometric/attendance payloads, validate schema/source, normalize identities/dates and persist.</t>
        </is>
      </c>
      <c r="F80" s="54" t="inlineStr">
        <is>
          <t>21-Sep-26</t>
        </is>
      </c>
      <c r="G80" s="54" t="inlineStr">
        <is>
          <t>25-Sep-26</t>
        </is>
      </c>
      <c r="H80" s="54" t="n"/>
      <c r="I80" s="54" t="n"/>
      <c r="J80" s="87" t="n"/>
      <c r="K80" s="88" t="inlineStr">
        <is>
          <t>Not Started</t>
        </is>
      </c>
      <c r="L80" s="82" t="inlineStr">
        <is>
          <t>0%</t>
        </is>
      </c>
      <c r="M80" s="89" t="inlineStr">
        <is>
          <t>BE + Integration</t>
        </is>
      </c>
      <c r="N80" s="97" t="inlineStr">
        <is>
          <t>INP-018 — Final biometric API payload and security from ESSA IT</t>
        </is>
      </c>
      <c r="O80" s="83" t="n"/>
    </row>
    <row r="81" hidden="1" ht="31.5" customHeight="1">
      <c r="A81" s="82" t="n">
        <v>69</v>
      </c>
      <c r="B81" s="30" t="inlineStr">
        <is>
          <t>Biometric Integration</t>
        </is>
      </c>
      <c r="C81" s="31" t="inlineStr">
        <is>
          <t>Availability &amp; Exception Handling</t>
        </is>
      </c>
      <c r="D81" s="31" t="inlineStr">
        <is>
          <t>Biometric availability, normalization and manual-verification fallback</t>
        </is>
      </c>
      <c r="E81" s="83" t="inlineStr">
        <is>
          <t>Handle delayed/missing/partial biometric data, reconciliation warnings and manual verification without hard-blocking invoices.</t>
        </is>
      </c>
      <c r="F81" s="54" t="inlineStr">
        <is>
          <t>21-Sep-26</t>
        </is>
      </c>
      <c r="G81" s="54" t="inlineStr">
        <is>
          <t>25-Sep-26</t>
        </is>
      </c>
      <c r="H81" s="54" t="n"/>
      <c r="I81" s="54" t="n"/>
      <c r="J81" s="87" t="n"/>
      <c r="K81" s="88" t="inlineStr">
        <is>
          <t>Not Started</t>
        </is>
      </c>
      <c r="L81" s="82" t="inlineStr">
        <is>
          <t>0%</t>
        </is>
      </c>
      <c r="M81" s="89" t="inlineStr">
        <is>
          <t>BE + DB</t>
        </is>
      </c>
      <c r="N81" s="83" t="n"/>
      <c r="O81" s="83" t="n"/>
    </row>
    <row r="82" hidden="1" ht="31.5" customHeight="1">
      <c r="A82" s="82" t="n">
        <v>70</v>
      </c>
      <c r="B82" s="32" t="inlineStr">
        <is>
          <t>Workflow &amp; Approval</t>
        </is>
      </c>
      <c r="C82" s="33" t="inlineStr">
        <is>
          <t>Workflow Engine</t>
        </is>
      </c>
      <c r="D82" s="33" t="inlineStr">
        <is>
          <t>Approval workflow instance, stage and action-state engine</t>
        </is>
      </c>
      <c r="E82" s="94" t="inlineStr">
        <is>
          <t>Create workflow instances from published config, manage stages/approvers/action state and prevent conflicting duplicate actions.</t>
        </is>
      </c>
      <c r="F82" s="56" t="inlineStr">
        <is>
          <t>15-Oct-26</t>
        </is>
      </c>
      <c r="G82" s="56" t="inlineStr">
        <is>
          <t>26-Oct-26</t>
        </is>
      </c>
      <c r="H82" s="56" t="n"/>
      <c r="I82" s="56" t="n"/>
      <c r="J82" s="87" t="n"/>
      <c r="K82" s="88" t="inlineStr">
        <is>
          <t>Not Started</t>
        </is>
      </c>
      <c r="L82" s="100" t="inlineStr">
        <is>
          <t>0%</t>
        </is>
      </c>
      <c r="M82" s="89" t="inlineStr">
        <is>
          <t>BE + DB</t>
        </is>
      </c>
      <c r="N82" s="94" t="n"/>
      <c r="O82" s="94" t="n"/>
    </row>
    <row r="83" hidden="1" ht="31.5" customHeight="1">
      <c r="A83" s="82" t="n">
        <v>71</v>
      </c>
      <c r="B83" s="32" t="inlineStr">
        <is>
          <t>Workflow &amp; Approval</t>
        </is>
      </c>
      <c r="C83" s="33" t="inlineStr">
        <is>
          <t>AP Review</t>
        </is>
      </c>
      <c r="D83" s="33" t="inlineStr">
        <is>
          <t>AP Team review, final AP controls and submission to approval</t>
        </is>
      </c>
      <c r="E83" s="94" t="inlineStr">
        <is>
          <t>Implement AP review actions/prerequisites, applicable AP Lead control and transition to Approval Pending.</t>
        </is>
      </c>
      <c r="F83" s="56" t="inlineStr">
        <is>
          <t>15-Oct-26</t>
        </is>
      </c>
      <c r="G83" s="56" t="inlineStr">
        <is>
          <t>26-Oct-26</t>
        </is>
      </c>
      <c r="H83" s="56" t="n"/>
      <c r="I83" s="56" t="n"/>
      <c r="J83" s="87" t="n"/>
      <c r="K83" s="88" t="inlineStr">
        <is>
          <t>Not Started</t>
        </is>
      </c>
      <c r="L83" s="100" t="inlineStr">
        <is>
          <t>0%</t>
        </is>
      </c>
      <c r="M83" s="86" t="inlineStr">
        <is>
          <t>FE + BE</t>
        </is>
      </c>
      <c r="N83" s="94" t="n"/>
      <c r="O83" s="94" t="n"/>
    </row>
    <row r="84" hidden="1" ht="31.5" customHeight="1">
      <c r="A84" s="100" t="n">
        <v>72</v>
      </c>
      <c r="B84" s="32" t="inlineStr">
        <is>
          <t>Workflow &amp; Approval</t>
        </is>
      </c>
      <c r="C84" s="33" t="inlineStr">
        <is>
          <t>DoA &amp; WPC Routing</t>
        </is>
      </c>
      <c r="D84" s="33" t="inlineStr">
        <is>
          <t>Delegation of Authority and applicable WPC approval routing</t>
        </is>
      </c>
      <c r="E84" s="94" t="inlineStr">
        <is>
          <t>Resolve approver sequence using approved DoA matrix and route WPC-related approval where explicitly in scope.</t>
        </is>
      </c>
      <c r="F84" s="56" t="inlineStr">
        <is>
          <t>15-Oct-26</t>
        </is>
      </c>
      <c r="G84" s="56" t="inlineStr">
        <is>
          <t>26-Oct-26</t>
        </is>
      </c>
      <c r="H84" s="56" t="n"/>
      <c r="I84" s="56" t="n"/>
      <c r="J84" s="87" t="n"/>
      <c r="K84" s="88" t="inlineStr">
        <is>
          <t>Not Started</t>
        </is>
      </c>
      <c r="L84" s="100" t="inlineStr">
        <is>
          <t>0%</t>
        </is>
      </c>
      <c r="M84" s="89" t="inlineStr">
        <is>
          <t>BE + DB</t>
        </is>
      </c>
      <c r="N84" s="97" t="inlineStr">
        <is>
          <t>INP-004 — DoA matrix from ESSA Finance</t>
        </is>
      </c>
      <c r="O84" s="94" t="n"/>
    </row>
    <row r="85" hidden="1" ht="31.5" customHeight="1">
      <c r="A85" s="82" t="n">
        <v>73</v>
      </c>
      <c r="B85" s="32" t="inlineStr">
        <is>
          <t>Workflow &amp; Approval</t>
        </is>
      </c>
      <c r="C85" s="33" t="inlineStr">
        <is>
          <t>Tax Review</t>
        </is>
      </c>
      <c r="D85" s="33" t="inlineStr">
        <is>
          <t>Tax Team review for applicable service invoices</t>
        </is>
      </c>
      <c r="E85" s="94" t="inlineStr">
        <is>
          <t>Route applicable invoices through Tax Team review according to agreed sequence and capture decision/remarks.</t>
        </is>
      </c>
      <c r="F85" s="56" t="inlineStr">
        <is>
          <t>15-Oct-26</t>
        </is>
      </c>
      <c r="G85" s="56" t="inlineStr">
        <is>
          <t>26-Oct-26</t>
        </is>
      </c>
      <c r="H85" s="56" t="n"/>
      <c r="I85" s="56" t="n"/>
      <c r="J85" s="87" t="n"/>
      <c r="K85" s="88" t="inlineStr">
        <is>
          <t>Not Started</t>
        </is>
      </c>
      <c r="L85" s="100" t="inlineStr">
        <is>
          <t>0%</t>
        </is>
      </c>
      <c r="M85" s="89" t="inlineStr">
        <is>
          <t>BE + DB</t>
        </is>
      </c>
      <c r="N85" s="97" t="inlineStr">
        <is>
          <t>INP-005 — Tax workflow from ESSA Finance/Tax</t>
        </is>
      </c>
      <c r="O85" s="94" t="n"/>
    </row>
    <row r="86" hidden="1" ht="31.5" customHeight="1">
      <c r="A86" s="82" t="n">
        <v>74</v>
      </c>
      <c r="B86" s="32" t="inlineStr">
        <is>
          <t>Workflow &amp; Approval</t>
        </is>
      </c>
      <c r="C86" s="33" t="inlineStr">
        <is>
          <t>Microsoft Teams Approval</t>
        </is>
      </c>
      <c r="D86" s="33" t="inlineStr">
        <is>
          <t>Teams approve, reject and request-more-info actions</t>
        </is>
      </c>
      <c r="E86" s="94" t="inlineStr">
        <is>
          <t>Deliver authenticated approval card/request in Teams and process Approve, Reject and Request More Info actions.</t>
        </is>
      </c>
      <c r="F86" s="56" t="inlineStr">
        <is>
          <t>15-Oct-26</t>
        </is>
      </c>
      <c r="G86" s="56" t="inlineStr">
        <is>
          <t>26-Oct-26</t>
        </is>
      </c>
      <c r="H86" s="56" t="n"/>
      <c r="I86" s="56" t="n"/>
      <c r="J86" s="87" t="n"/>
      <c r="K86" s="88" t="inlineStr">
        <is>
          <t>Not Started</t>
        </is>
      </c>
      <c r="L86" s="100" t="inlineStr">
        <is>
          <t>0%</t>
        </is>
      </c>
      <c r="M86" s="89" t="inlineStr">
        <is>
          <t>BE + Integration</t>
        </is>
      </c>
      <c r="N86" s="97" t="inlineStr">
        <is>
          <t>INP-006 — Channel decision from ESSA</t>
        </is>
      </c>
      <c r="O86" s="94" t="n"/>
    </row>
    <row r="87" hidden="1" ht="31.5" customHeight="1">
      <c r="A87" s="82" t="n">
        <v>75</v>
      </c>
      <c r="B87" s="32" t="inlineStr">
        <is>
          <t>Workflow &amp; Approval</t>
        </is>
      </c>
      <c r="C87" s="33" t="inlineStr">
        <is>
          <t>Rejection &amp; Resubmission</t>
        </is>
      </c>
      <c r="D87" s="33" t="inlineStr">
        <is>
          <t>Rejection, mandatory remarks, return, resubmit and cancellation</t>
        </is>
      </c>
      <c r="E87" s="94" t="inlineStr">
        <is>
          <t>Capture mandatory remarks where required and support Rejected→Draft/resubmit and Cancelled paths without losing history.</t>
        </is>
      </c>
      <c r="F87" s="56" t="inlineStr">
        <is>
          <t>15-Oct-26</t>
        </is>
      </c>
      <c r="G87" s="56" t="inlineStr">
        <is>
          <t>26-Oct-26</t>
        </is>
      </c>
      <c r="H87" s="56" t="n"/>
      <c r="I87" s="56" t="n"/>
      <c r="J87" s="87" t="n"/>
      <c r="K87" s="88" t="inlineStr">
        <is>
          <t>Not Started</t>
        </is>
      </c>
      <c r="L87" s="100" t="inlineStr">
        <is>
          <t>0%</t>
        </is>
      </c>
      <c r="M87" s="86" t="inlineStr">
        <is>
          <t>FE + BE + DB</t>
        </is>
      </c>
      <c r="N87" s="94" t="n"/>
      <c r="O87" s="94" t="n"/>
    </row>
    <row r="88" hidden="1" ht="31.5" customHeight="1">
      <c r="A88" s="82" t="n">
        <v>79</v>
      </c>
      <c r="B88" s="101" t="inlineStr">
        <is>
          <t>SAP Reference Data Integration</t>
        </is>
      </c>
      <c r="C88" s="102" t="inlineStr">
        <is>
          <t>Blob Intake</t>
        </is>
      </c>
      <c r="D88" s="102" t="inlineStr">
        <is>
          <t>Azure Blob SAP reference-data file discovery and batch registration</t>
        </is>
      </c>
      <c r="E88" s="103" t="inlineStr">
        <is>
          <t>Discover CSV files from SAP ABAP batch to Azure Blob, register source batch/checksum and prevent duplicate ingestion.</t>
        </is>
      </c>
      <c r="F88" s="60" t="inlineStr">
        <is>
          <t>07-Sep-26</t>
        </is>
      </c>
      <c r="G88" s="60" t="inlineStr">
        <is>
          <t>18-Sep-26</t>
        </is>
      </c>
      <c r="H88" s="60" t="n"/>
      <c r="I88" s="60" t="n"/>
      <c r="J88" s="87" t="n"/>
      <c r="K88" s="88" t="inlineStr">
        <is>
          <t>Not Started</t>
        </is>
      </c>
      <c r="L88" s="106" t="inlineStr">
        <is>
          <t>0%</t>
        </is>
      </c>
      <c r="M88" s="89" t="inlineStr">
        <is>
          <t>BE + Integration</t>
        </is>
      </c>
      <c r="N88" s="97" t="inlineStr">
        <is>
          <t>INP-010 — CSV contract from ESSA SAP team</t>
        </is>
      </c>
      <c r="O88" s="103" t="n"/>
    </row>
    <row r="89" hidden="1" ht="31.5" customHeight="1">
      <c r="A89" s="100" t="n">
        <v>80</v>
      </c>
      <c r="B89" s="101" t="inlineStr">
        <is>
          <t>SAP Reference Data Integration</t>
        </is>
      </c>
      <c r="C89" s="102" t="inlineStr">
        <is>
          <t>CSV Validation &amp; Staging</t>
        </is>
      </c>
      <c r="D89" s="102" t="inlineStr">
        <is>
          <t>Inbound CSV schema validation, staging and quarantine</t>
        </is>
      </c>
      <c r="E89" s="103" t="inlineStr">
        <is>
          <t>Validate file naming/schema/mandatory columns, stage valid records and quarantine/reject invalid files or rows.</t>
        </is>
      </c>
      <c r="F89" s="60" t="inlineStr">
        <is>
          <t>07-Sep-26</t>
        </is>
      </c>
      <c r="G89" s="60" t="inlineStr">
        <is>
          <t>18-Sep-26</t>
        </is>
      </c>
      <c r="H89" s="60" t="n"/>
      <c r="I89" s="60" t="n"/>
      <c r="J89" s="87" t="n"/>
      <c r="K89" s="88" t="inlineStr">
        <is>
          <t>Not Started</t>
        </is>
      </c>
      <c r="L89" s="106" t="inlineStr">
        <is>
          <t>0%</t>
        </is>
      </c>
      <c r="M89" s="89" t="inlineStr">
        <is>
          <t>BE + DB</t>
        </is>
      </c>
      <c r="N89" s="97" t="inlineStr">
        <is>
          <t>INP-009 — SAP objects from ESSA SAP team</t>
        </is>
      </c>
      <c r="O89" s="103" t="n"/>
    </row>
    <row r="90" hidden="1" ht="31.5" customHeight="1">
      <c r="A90" s="82" t="n">
        <v>81</v>
      </c>
      <c r="B90" s="101" t="inlineStr">
        <is>
          <t>SAP Reference Data Integration</t>
        </is>
      </c>
      <c r="C90" s="102" t="inlineStr">
        <is>
          <t>Reference Synchronization</t>
        </is>
      </c>
      <c r="D90" s="102" t="inlineStr">
        <is>
          <t>PO, vendor, SES and SAP reference synchronization</t>
        </is>
      </c>
      <c r="E90" s="103" t="inlineStr">
        <is>
          <t>Upsert approved SAP reference objects into PostgreSQL with source batch/effective timestamps and business keys.</t>
        </is>
      </c>
      <c r="F90" s="60" t="inlineStr">
        <is>
          <t>07-Sep-26</t>
        </is>
      </c>
      <c r="G90" s="60" t="inlineStr">
        <is>
          <t>18-Sep-26</t>
        </is>
      </c>
      <c r="H90" s="60" t="n"/>
      <c r="I90" s="60" t="n"/>
      <c r="J90" s="87" t="n"/>
      <c r="K90" s="88" t="inlineStr">
        <is>
          <t>Not Started</t>
        </is>
      </c>
      <c r="L90" s="106" t="inlineStr">
        <is>
          <t>0%</t>
        </is>
      </c>
      <c r="M90" s="89" t="inlineStr">
        <is>
          <t>BE + DB</t>
        </is>
      </c>
      <c r="N90" s="97" t="inlineStr">
        <is>
          <t>INP-009 — SAP objects from ESSA SAP team</t>
        </is>
      </c>
      <c r="O90" s="103" t="n"/>
    </row>
    <row r="91" hidden="1" ht="31.5" customHeight="1">
      <c r="A91" s="82" t="n">
        <v>82</v>
      </c>
      <c r="B91" s="101" t="inlineStr">
        <is>
          <t>SAP Reference Data Integration</t>
        </is>
      </c>
      <c r="C91" s="102" t="inlineStr">
        <is>
          <t>Negative Vendor Sync</t>
        </is>
      </c>
      <c r="D91" s="102" t="inlineStr">
        <is>
          <t>SAP Negative Vendor List synchronization</t>
        </is>
      </c>
      <c r="E91" s="103" t="inlineStr">
        <is>
          <t>Load authoritative SAP Negative Vendor List with batch/effective/source traceability and snapshot history.</t>
        </is>
      </c>
      <c r="F91" s="60" t="inlineStr">
        <is>
          <t>07-Sep-26</t>
        </is>
      </c>
      <c r="G91" s="60" t="inlineStr">
        <is>
          <t>18-Sep-26</t>
        </is>
      </c>
      <c r="H91" s="60" t="n"/>
      <c r="I91" s="60" t="n"/>
      <c r="J91" s="87" t="n"/>
      <c r="K91" s="88" t="inlineStr">
        <is>
          <t>Not Started</t>
        </is>
      </c>
      <c r="L91" s="106" t="inlineStr">
        <is>
          <t>0%</t>
        </is>
      </c>
      <c r="M91" s="89" t="inlineStr">
        <is>
          <t>BE + DB</t>
        </is>
      </c>
      <c r="N91" s="103" t="n"/>
      <c r="O91" s="103" t="n"/>
    </row>
    <row r="92" hidden="1" ht="31.5" customHeight="1">
      <c r="A92" s="82" t="n">
        <v>83</v>
      </c>
      <c r="B92" s="101" t="inlineStr">
        <is>
          <t>SAP Reference Data Integration</t>
        </is>
      </c>
      <c r="C92" s="102" t="inlineStr">
        <is>
          <t>Inbound Operations</t>
        </is>
      </c>
      <c r="D92" s="102" t="inlineStr">
        <is>
          <t>Schedule, reconciliation, archive and replay</t>
        </is>
      </c>
      <c r="E92" s="103" t="inlineStr">
        <is>
          <t>Schedule inbound loads, reconcile record/file counts, archive processed files and provide safe replay/recovery controls.</t>
        </is>
      </c>
      <c r="F92" s="60" t="inlineStr">
        <is>
          <t>07-Sep-26</t>
        </is>
      </c>
      <c r="G92" s="60" t="inlineStr">
        <is>
          <t>18-Sep-26</t>
        </is>
      </c>
      <c r="H92" s="60" t="n"/>
      <c r="I92" s="60" t="n"/>
      <c r="J92" s="87" t="n"/>
      <c r="K92" s="88" t="inlineStr">
        <is>
          <t>Not Started</t>
        </is>
      </c>
      <c r="L92" s="106" t="inlineStr">
        <is>
          <t>0%</t>
        </is>
      </c>
      <c r="M92" s="89" t="inlineStr">
        <is>
          <t>BE + DB</t>
        </is>
      </c>
      <c r="N92" s="103" t="n"/>
      <c r="O92" s="103" t="n"/>
    </row>
    <row r="93" hidden="1" ht="31.5" customHeight="1">
      <c r="A93" s="100" t="n">
        <v>84</v>
      </c>
      <c r="B93" s="107" t="inlineStr">
        <is>
          <t>SAP Parking / RPA</t>
        </is>
      </c>
      <c r="C93" s="108" t="inlineStr">
        <is>
          <t>Parking Queue</t>
        </is>
      </c>
      <c r="D93" s="108" t="inlineStr">
        <is>
          <t>EAPA PostgreSQL SAP parking queue</t>
        </is>
      </c>
      <c r="E93" s="109" t="inlineStr">
        <is>
          <t>Create durable parking queue with invoice payload, transaction type, state, attempts, idempotency and RPA payload.</t>
        </is>
      </c>
      <c r="F93" s="62" t="inlineStr">
        <is>
          <t>07-Sep-26</t>
        </is>
      </c>
      <c r="G93" s="62" t="inlineStr">
        <is>
          <t>25-Sep-26</t>
        </is>
      </c>
      <c r="H93" s="62" t="n"/>
      <c r="I93" s="62" t="n"/>
      <c r="J93" s="87" t="n"/>
      <c r="K93" s="88" t="inlineStr">
        <is>
          <t>Not Started</t>
        </is>
      </c>
      <c r="L93" s="143" t="inlineStr">
        <is>
          <t>0%</t>
        </is>
      </c>
      <c r="M93" s="89" t="inlineStr">
        <is>
          <t>BE + DB</t>
        </is>
      </c>
      <c r="N93" s="109" t="n"/>
      <c r="O93" s="109" t="n"/>
    </row>
    <row r="94" hidden="1" ht="31.5" customHeight="1">
      <c r="A94" s="82" t="n">
        <v>85</v>
      </c>
      <c r="B94" s="107" t="inlineStr">
        <is>
          <t>SAP Parking / RPA</t>
        </is>
      </c>
      <c r="C94" s="108" t="inlineStr">
        <is>
          <t>RPA Orchestration</t>
        </is>
      </c>
      <c r="D94" s="108" t="inlineStr">
        <is>
          <t>RPA pickup, atomic claim, locking and retry</t>
        </is>
      </c>
      <c r="E94" s="109" t="inlineStr">
        <is>
          <t>Implement Power Automate Desktop pickup/claim pattern, lock ownership, attempt history and stale-lock recovery.</t>
        </is>
      </c>
      <c r="F94" s="62" t="inlineStr">
        <is>
          <t>07-Sep-26</t>
        </is>
      </c>
      <c r="G94" s="62" t="inlineStr">
        <is>
          <t>25-Sep-26</t>
        </is>
      </c>
      <c r="H94" s="62" t="n"/>
      <c r="I94" s="62" t="n"/>
      <c r="J94" s="144" t="inlineStr">
        <is>
          <t>Natheera</t>
        </is>
      </c>
      <c r="K94" s="88" t="inlineStr">
        <is>
          <t>Not Started</t>
        </is>
      </c>
      <c r="L94" s="143" t="inlineStr">
        <is>
          <t>0%</t>
        </is>
      </c>
      <c r="M94" s="145" t="inlineStr">
        <is>
          <t>RPA + Integration</t>
        </is>
      </c>
      <c r="N94" s="97" t="inlineStr">
        <is>
          <t>INP-013 — SAP GUI/PAD access from ESSA IT</t>
        </is>
      </c>
      <c r="O94" s="109" t="n"/>
    </row>
    <row r="95" hidden="1" ht="31.5" customHeight="1">
      <c r="A95" s="82" t="n">
        <v>86</v>
      </c>
      <c r="B95" s="107" t="inlineStr">
        <is>
          <t>SAP Parking / RPA</t>
        </is>
      </c>
      <c r="C95" s="108" t="inlineStr">
        <is>
          <t>MIRO Parking</t>
        </is>
      </c>
      <c r="D95" s="108" t="inlineStr">
        <is>
          <t>PO invoice parking through SAP GUI MIRO</t>
        </is>
      </c>
      <c r="E95" s="109" t="inlineStr">
        <is>
          <t>Automate approved MIRO navigation/field mapping for PO invoices and capture SAP response/document reference.</t>
        </is>
      </c>
      <c r="F95" s="62" t="inlineStr">
        <is>
          <t>07-Sep-26</t>
        </is>
      </c>
      <c r="G95" s="62" t="inlineStr">
        <is>
          <t>25-Sep-26</t>
        </is>
      </c>
      <c r="H95" s="62" t="n"/>
      <c r="I95" s="62" t="n"/>
      <c r="J95" s="144" t="inlineStr">
        <is>
          <t>Natheera</t>
        </is>
      </c>
      <c r="K95" s="88" t="inlineStr">
        <is>
          <t>Not Started</t>
        </is>
      </c>
      <c r="L95" s="143" t="inlineStr">
        <is>
          <t>0%</t>
        </is>
      </c>
      <c r="M95" s="145" t="inlineStr">
        <is>
          <t>RPA + Integration</t>
        </is>
      </c>
      <c r="N95" s="97" t="inlineStr">
        <is>
          <t>INP-011 — MIRO field mapping from ESSA SAP; INP-013 — RPA access</t>
        </is>
      </c>
      <c r="O95" s="109" t="n"/>
    </row>
    <row r="96" hidden="1" ht="31.5" customHeight="1">
      <c r="A96" s="82" t="n">
        <v>87</v>
      </c>
      <c r="B96" s="107" t="inlineStr">
        <is>
          <t>SAP Parking / RPA</t>
        </is>
      </c>
      <c r="C96" s="108" t="inlineStr">
        <is>
          <t>FB60 Parking</t>
        </is>
      </c>
      <c r="D96" s="108" t="inlineStr">
        <is>
          <t>Non-PO invoice parking through SAP GUI FB60</t>
        </is>
      </c>
      <c r="E96" s="109" t="inlineStr">
        <is>
          <t>Automate approved FB60 navigation/field mapping for Non-PO invoices and capture SAP response/document reference.</t>
        </is>
      </c>
      <c r="F96" s="62" t="inlineStr">
        <is>
          <t>07-Sep-26</t>
        </is>
      </c>
      <c r="G96" s="62" t="inlineStr">
        <is>
          <t>25-Sep-26</t>
        </is>
      </c>
      <c r="H96" s="62" t="n"/>
      <c r="I96" s="62" t="n"/>
      <c r="J96" s="144" t="inlineStr">
        <is>
          <t>Natheera</t>
        </is>
      </c>
      <c r="K96" s="88" t="inlineStr">
        <is>
          <t>Not Started</t>
        </is>
      </c>
      <c r="L96" s="143" t="inlineStr">
        <is>
          <t>0%</t>
        </is>
      </c>
      <c r="M96" s="145" t="inlineStr">
        <is>
          <t>RPA + Integration</t>
        </is>
      </c>
      <c r="N96" s="97" t="inlineStr">
        <is>
          <t>INP-011 — FB60 field mapping from ESSA SAP; INP-013 — RPA access</t>
        </is>
      </c>
      <c r="O96" s="109" t="n"/>
    </row>
    <row r="97" hidden="1" ht="31.5" customHeight="1">
      <c r="A97" s="100" t="n">
        <v>88</v>
      </c>
      <c r="B97" s="107" t="inlineStr">
        <is>
          <t>SAP Parking / RPA</t>
        </is>
      </c>
      <c r="C97" s="108" t="inlineStr">
        <is>
          <t>GOS Attachments</t>
        </is>
      </c>
      <c r="D97" s="108" t="inlineStr">
        <is>
          <t>Invoice/supporting document upload to SAP GOS</t>
        </is>
      </c>
      <c r="E97" s="109" t="inlineStr">
        <is>
          <t>Attach approved invoice/supporting documents to correct SAP document through agreed RPA/GOS path.</t>
        </is>
      </c>
      <c r="F97" s="62" t="inlineStr">
        <is>
          <t>07-Sep-26</t>
        </is>
      </c>
      <c r="G97" s="62" t="inlineStr">
        <is>
          <t>25-Sep-26</t>
        </is>
      </c>
      <c r="H97" s="62" t="n"/>
      <c r="I97" s="62" t="n"/>
      <c r="J97" s="144" t="inlineStr">
        <is>
          <t>Natheera</t>
        </is>
      </c>
      <c r="K97" s="88" t="inlineStr">
        <is>
          <t>Not Started</t>
        </is>
      </c>
      <c r="L97" s="143" t="inlineStr">
        <is>
          <t>0%</t>
        </is>
      </c>
      <c r="M97" s="145" t="inlineStr">
        <is>
          <t>RPA + Integration</t>
        </is>
      </c>
      <c r="N97" s="97" t="inlineStr">
        <is>
          <t>INP-012 — GOS requirements from ESSA SAP (Resolved)</t>
        </is>
      </c>
      <c r="O97" s="109" t="n"/>
    </row>
    <row r="98" hidden="1" ht="31.5" customHeight="1">
      <c r="A98" s="82" t="n">
        <v>89</v>
      </c>
      <c r="B98" s="107" t="inlineStr">
        <is>
          <t>SAP Parking / RPA</t>
        </is>
      </c>
      <c r="C98" s="108" t="inlineStr">
        <is>
          <t>Parking Result &amp; Recovery</t>
        </is>
      </c>
      <c r="D98" s="108" t="inlineStr">
        <is>
          <t>SAP result writeback, lifecycle update and failed-item recovery</t>
        </is>
      </c>
      <c r="E98" s="109" t="inlineStr">
        <is>
          <t>Persist SAP document number/result/failure reason, transition eligible invoices to Parked and support retry.</t>
        </is>
      </c>
      <c r="F98" s="62" t="inlineStr">
        <is>
          <t>07-Sep-26</t>
        </is>
      </c>
      <c r="G98" s="62" t="inlineStr">
        <is>
          <t>25-Sep-26</t>
        </is>
      </c>
      <c r="H98" s="62" t="n"/>
      <c r="I98" s="62" t="n"/>
      <c r="J98" s="144" t="inlineStr">
        <is>
          <t>Natheera</t>
        </is>
      </c>
      <c r="K98" s="88" t="inlineStr">
        <is>
          <t>Not Started</t>
        </is>
      </c>
      <c r="L98" s="143" t="inlineStr">
        <is>
          <t>0%</t>
        </is>
      </c>
      <c r="M98" s="89" t="inlineStr">
        <is>
          <t>BE + DB + RPA</t>
        </is>
      </c>
      <c r="N98" s="109" t="n"/>
      <c r="O98" s="109" t="n"/>
    </row>
    <row r="99" hidden="1" ht="31.5" customHeight="1">
      <c r="A99" s="82" t="n">
        <v>90</v>
      </c>
      <c r="B99" s="107" t="inlineStr">
        <is>
          <t>SAP Parking / RPA</t>
        </is>
      </c>
      <c r="C99" s="108" t="inlineStr">
        <is>
          <t>Parked Invoice Re-match</t>
        </is>
      </c>
      <c r="D99" s="108" t="inlineStr">
        <is>
          <t>Daily GRN/SES re-match and posting-readiness handling</t>
        </is>
      </c>
      <c r="E99" s="109" t="inlineStr">
        <is>
          <t>Re-evaluate parked invoices against refreshed GRN/SES/reference data and support path toward posting readiness.</t>
        </is>
      </c>
      <c r="F99" s="62" t="inlineStr">
        <is>
          <t>07-Sep-26</t>
        </is>
      </c>
      <c r="G99" s="62" t="inlineStr">
        <is>
          <t>25-Sep-26</t>
        </is>
      </c>
      <c r="H99" s="62" t="n"/>
      <c r="I99" s="62" t="n"/>
      <c r="J99" s="87" t="n"/>
      <c r="K99" s="88" t="inlineStr">
        <is>
          <t>Not Started</t>
        </is>
      </c>
      <c r="L99" s="143" t="inlineStr">
        <is>
          <t>0%</t>
        </is>
      </c>
      <c r="M99" s="89" t="inlineStr">
        <is>
          <t>BE + DB</t>
        </is>
      </c>
      <c r="N99" s="109" t="n"/>
      <c r="O99" s="109" t="n"/>
    </row>
    <row r="100" hidden="1" ht="31.5" customHeight="1">
      <c r="A100" s="82" t="n">
        <v>91</v>
      </c>
      <c r="B100" s="112" t="inlineStr">
        <is>
          <t>SAP Extraction</t>
        </is>
      </c>
      <c r="C100" s="113" t="inlineStr">
        <is>
          <t>Status File Creation</t>
        </is>
      </c>
      <c r="D100" s="113" t="inlineStr">
        <is>
          <t>Extract invoice/payment status data from SAP</t>
        </is>
      </c>
      <c r="E100" s="114" t="inlineStr">
        <is>
          <t>Status file (invoice &amp; payment status) pulled from SAP ABAP batch and made available to EAPA.</t>
        </is>
      </c>
      <c r="F100" s="64" t="inlineStr">
        <is>
          <t>07-Sep-26</t>
        </is>
      </c>
      <c r="G100" s="64" t="inlineStr">
        <is>
          <t>09-Oct-26</t>
        </is>
      </c>
      <c r="H100" s="64" t="n"/>
      <c r="I100" s="64" t="n"/>
      <c r="J100" s="146" t="inlineStr">
        <is>
          <t>ABAP</t>
        </is>
      </c>
      <c r="K100" s="88" t="inlineStr">
        <is>
          <t>Not Started</t>
        </is>
      </c>
      <c r="L100" s="120" t="inlineStr">
        <is>
          <t>0%</t>
        </is>
      </c>
      <c r="M100" s="147" t="inlineStr">
        <is>
          <t>Integration</t>
        </is>
      </c>
      <c r="N100" s="97" t="inlineStr">
        <is>
          <t>INP-010 — CSV contract from ESSA SAP team</t>
        </is>
      </c>
      <c r="O100" s="114" t="n"/>
    </row>
    <row r="101" hidden="1" ht="31.5" customHeight="1">
      <c r="A101" s="100" t="n">
        <v>92</v>
      </c>
      <c r="B101" s="112" t="inlineStr">
        <is>
          <t>SAP Extraction</t>
        </is>
      </c>
      <c r="C101" s="113" t="inlineStr">
        <is>
          <t>PO Extraction</t>
        </is>
      </c>
      <c r="D101" s="113" t="inlineStr">
        <is>
          <t>Extract Purchase Order data from SAP</t>
        </is>
      </c>
      <c r="E101" s="114" t="inlineStr">
        <is>
          <t>PO file (header, item, delivery/billing schedule) pulled from SAP ABAP batch and made available to EAPA.</t>
        </is>
      </c>
      <c r="F101" s="64" t="inlineStr">
        <is>
          <t>07-Sep-26</t>
        </is>
      </c>
      <c r="G101" s="64" t="inlineStr">
        <is>
          <t>09-Oct-26</t>
        </is>
      </c>
      <c r="H101" s="64" t="n"/>
      <c r="I101" s="64" t="n"/>
      <c r="J101" s="146" t="inlineStr">
        <is>
          <t>ABAP</t>
        </is>
      </c>
      <c r="K101" s="88" t="inlineStr">
        <is>
          <t>Not Started</t>
        </is>
      </c>
      <c r="L101" s="120" t="inlineStr">
        <is>
          <t>0%</t>
        </is>
      </c>
      <c r="M101" s="147" t="inlineStr">
        <is>
          <t>Integration</t>
        </is>
      </c>
      <c r="N101" s="97" t="inlineStr">
        <is>
          <t>INP-009 — SAP objects from ESSA SAP team</t>
        </is>
      </c>
      <c r="O101" s="114" t="n"/>
    </row>
    <row r="102" hidden="1" ht="31.5" customHeight="1">
      <c r="A102" s="82" t="n">
        <v>93</v>
      </c>
      <c r="B102" s="112" t="inlineStr">
        <is>
          <t>SAP Extraction</t>
        </is>
      </c>
      <c r="C102" s="113" t="inlineStr">
        <is>
          <t>GRN and SES Extraction</t>
        </is>
      </c>
      <c r="D102" s="113" t="inlineStr">
        <is>
          <t>Extract Goods Receipt and Service Entry data from SAP</t>
        </is>
      </c>
      <c r="E102" s="114" t="inlineStr">
        <is>
          <t>GRN/SES file pulled from SAP ABAP batch and made available to EAPA.</t>
        </is>
      </c>
      <c r="F102" s="64" t="inlineStr">
        <is>
          <t>07-Sep-26</t>
        </is>
      </c>
      <c r="G102" s="64" t="inlineStr">
        <is>
          <t>09-Oct-26</t>
        </is>
      </c>
      <c r="H102" s="64" t="n"/>
      <c r="I102" s="64" t="n"/>
      <c r="J102" s="146" t="inlineStr">
        <is>
          <t>ABAP</t>
        </is>
      </c>
      <c r="K102" s="88" t="inlineStr">
        <is>
          <t>Not Started</t>
        </is>
      </c>
      <c r="L102" s="120" t="inlineStr">
        <is>
          <t>0%</t>
        </is>
      </c>
      <c r="M102" s="147" t="inlineStr">
        <is>
          <t>Integration</t>
        </is>
      </c>
      <c r="N102" s="97" t="inlineStr">
        <is>
          <t>INP-009 — SAP objects from ESSA SAP team</t>
        </is>
      </c>
      <c r="O102" s="114" t="n"/>
    </row>
    <row r="103" hidden="1" ht="31.5" customHeight="1">
      <c r="A103" s="82" t="n">
        <v>94</v>
      </c>
      <c r="B103" s="112" t="inlineStr">
        <is>
          <t>SAP Extraction</t>
        </is>
      </c>
      <c r="C103" s="113" t="inlineStr">
        <is>
          <t>Vendor Extraction</t>
        </is>
      </c>
      <c r="D103" s="113" t="inlineStr">
        <is>
          <t>Extract Vendor Master data from SAP</t>
        </is>
      </c>
      <c r="E103" s="114" t="inlineStr">
        <is>
          <t>Vendor file (master, bank details, blacklist) pulled from SAP ABAP batch and made available to EAPA.</t>
        </is>
      </c>
      <c r="F103" s="64" t="inlineStr">
        <is>
          <t>07-Sep-26</t>
        </is>
      </c>
      <c r="G103" s="64" t="inlineStr">
        <is>
          <t>09-Oct-26</t>
        </is>
      </c>
      <c r="H103" s="64" t="n"/>
      <c r="I103" s="64" t="n"/>
      <c r="J103" s="146" t="inlineStr">
        <is>
          <t>ABAP</t>
        </is>
      </c>
      <c r="K103" s="88" t="inlineStr">
        <is>
          <t>Not Started</t>
        </is>
      </c>
      <c r="L103" s="120" t="inlineStr">
        <is>
          <t>0%</t>
        </is>
      </c>
      <c r="M103" s="147" t="inlineStr">
        <is>
          <t>Integration</t>
        </is>
      </c>
      <c r="N103" s="97" t="inlineStr">
        <is>
          <t>INP-009 — SAP objects from ESSA SAP team</t>
        </is>
      </c>
      <c r="O103" s="114" t="n"/>
    </row>
    <row r="104" hidden="1" ht="31.5" customHeight="1">
      <c r="A104" s="82" t="n">
        <v>95</v>
      </c>
      <c r="B104" s="112" t="inlineStr">
        <is>
          <t>SAP Extraction</t>
        </is>
      </c>
      <c r="C104" s="113" t="inlineStr">
        <is>
          <t>SAP IS to Azure Blob</t>
        </is>
      </c>
      <c r="D104" s="113" t="inlineStr">
        <is>
          <t>Pass CSV files from SAP Integration Suite to Azure Blob</t>
        </is>
      </c>
      <c r="E104" s="114" t="inlineStr">
        <is>
          <t>SAP IS pipeline/channel picks up extracted CSV files and places them into the correct Azure Blob inbound folders.</t>
        </is>
      </c>
      <c r="F104" s="64" t="inlineStr">
        <is>
          <t>14-Sep-26</t>
        </is>
      </c>
      <c r="G104" s="64" t="inlineStr">
        <is>
          <t>25-Sep-26</t>
        </is>
      </c>
      <c r="H104" s="64" t="n"/>
      <c r="I104" s="64" t="n"/>
      <c r="J104" s="148" t="inlineStr">
        <is>
          <t>ESSA</t>
        </is>
      </c>
      <c r="K104" s="88" t="inlineStr">
        <is>
          <t>Not Started</t>
        </is>
      </c>
      <c r="L104" s="120" t="inlineStr">
        <is>
          <t>0%</t>
        </is>
      </c>
      <c r="M104" s="147" t="inlineStr">
        <is>
          <t>Integration</t>
        </is>
      </c>
      <c r="N104" s="97" t="inlineStr">
        <is>
          <t>INP-021 — SAP IS config from ESSA SAP team</t>
        </is>
      </c>
      <c r="O104" s="114" t="n"/>
    </row>
    <row r="105" hidden="1" ht="31.5" customHeight="1">
      <c r="A105" s="100" t="n">
        <v>96</v>
      </c>
      <c r="B105" s="112" t="inlineStr">
        <is>
          <t>SAP Extraction</t>
        </is>
      </c>
      <c r="C105" s="113" t="inlineStr">
        <is>
          <t>Azure Blob to AP Platform DB</t>
        </is>
      </c>
      <c r="D105" s="113" t="inlineStr">
        <is>
          <t>Load CSV files from Azure Blob into EAPA database</t>
        </is>
      </c>
      <c r="E105" s="114" t="inlineStr">
        <is>
          <t>Scheduled ingestion job polls Blob, validates file structure and loads records into EAPA PostgreSQL reference tables.</t>
        </is>
      </c>
      <c r="F105" s="64" t="inlineStr">
        <is>
          <t>14-Sep-26</t>
        </is>
      </c>
      <c r="G105" s="64" t="inlineStr">
        <is>
          <t>25-Sep-26</t>
        </is>
      </c>
      <c r="H105" s="64" t="n"/>
      <c r="I105" s="64" t="n"/>
      <c r="J105" s="87" t="n"/>
      <c r="K105" s="88" t="inlineStr">
        <is>
          <t>Not Started</t>
        </is>
      </c>
      <c r="L105" s="120" t="inlineStr">
        <is>
          <t>0%</t>
        </is>
      </c>
      <c r="M105" s="89" t="inlineStr">
        <is>
          <t>BE + DB</t>
        </is>
      </c>
      <c r="N105" s="114" t="n"/>
      <c r="O105" s="114" t="n"/>
    </row>
    <row r="106" hidden="1" ht="31.5" customHeight="1">
      <c r="A106" s="82" t="n">
        <v>97</v>
      </c>
      <c r="B106" s="121" t="inlineStr">
        <is>
          <t>Dashboard &amp; Reporting</t>
        </is>
      </c>
      <c r="C106" s="122" t="inlineStr">
        <is>
          <t>Operations Dashboard</t>
        </is>
      </c>
      <c r="D106" s="122" t="inlineStr">
        <is>
          <t>AP KPI, workload and operational dashboard</t>
        </is>
      </c>
      <c r="E106" s="123" t="inlineStr">
        <is>
          <t>Provide actionable metrics/queues for volumes, lifecycle/stage, pending HITL, approvals, exceptions and SAP processing.</t>
        </is>
      </c>
      <c r="F106" s="66" t="inlineStr">
        <is>
          <t>22-Oct-26</t>
        </is>
      </c>
      <c r="G106" s="66" t="inlineStr">
        <is>
          <t>02-Nov-26</t>
        </is>
      </c>
      <c r="H106" s="66" t="n"/>
      <c r="I106" s="66" t="n"/>
      <c r="J106" s="87" t="n"/>
      <c r="K106" s="88" t="inlineStr">
        <is>
          <t>Not Started</t>
        </is>
      </c>
      <c r="L106" s="124" t="inlineStr">
        <is>
          <t>0%</t>
        </is>
      </c>
      <c r="M106" s="86" t="inlineStr">
        <is>
          <t>FE + BE</t>
        </is>
      </c>
      <c r="N106" s="123" t="n"/>
      <c r="O106" s="123" t="n"/>
    </row>
    <row r="107" hidden="1" ht="31.5" customHeight="1">
      <c r="A107" s="82" t="n">
        <v>98</v>
      </c>
      <c r="B107" s="121" t="inlineStr">
        <is>
          <t>Dashboard &amp; Reporting</t>
        </is>
      </c>
      <c r="C107" s="122" t="inlineStr">
        <is>
          <t>Invoice Search &amp; Timeline</t>
        </is>
      </c>
      <c r="D107" s="122" t="inlineStr">
        <is>
          <t>Invoice search, filters, detail and end-to-end timeline</t>
        </is>
      </c>
      <c r="E107" s="123" t="inlineStr">
        <is>
          <t>Search/filter by invoice/vendor/PO/category/status/date and show extraction, validation, workflow and SAP history.</t>
        </is>
      </c>
      <c r="F107" s="66" t="inlineStr">
        <is>
          <t>28-Aug-26</t>
        </is>
      </c>
      <c r="G107" s="66" t="inlineStr">
        <is>
          <t>04-Sep-26</t>
        </is>
      </c>
      <c r="H107" s="66" t="inlineStr">
        <is>
          <t>28-Aug-26</t>
        </is>
      </c>
      <c r="I107" s="66" t="n"/>
      <c r="J107" s="149" t="inlineStr">
        <is>
          <t>Khalid</t>
        </is>
      </c>
      <c r="K107" s="98" t="inlineStr">
        <is>
          <t>In Progress</t>
        </is>
      </c>
      <c r="L107" s="124" t="inlineStr">
        <is>
          <t>30%</t>
        </is>
      </c>
      <c r="M107" s="86" t="inlineStr">
        <is>
          <t>FE + BE</t>
        </is>
      </c>
      <c r="N107" s="123" t="n"/>
      <c r="O107" s="123" t="inlineStr">
        <is>
          <t>Invoice filtering done. Working on timeline flow and search bar.</t>
        </is>
      </c>
    </row>
    <row r="108" hidden="1" ht="31.5" customHeight="1">
      <c r="A108" s="82" t="n">
        <v>99</v>
      </c>
      <c r="B108" s="121" t="inlineStr">
        <is>
          <t>Dashboard &amp; Reporting</t>
        </is>
      </c>
      <c r="C108" s="122" t="inlineStr">
        <is>
          <t>Operational Views &amp; Exports</t>
        </is>
      </c>
      <c r="D108" s="122" t="inlineStr">
        <is>
          <t>Exception/SLA/approval views and CSV/Excel exports</t>
        </is>
      </c>
      <c r="E108" s="123" t="inlineStr">
        <is>
          <t>Provide backlog views for exceptions/overdue SLA/pending approvals and configurable CSV/Excel exports.</t>
        </is>
      </c>
      <c r="F108" s="66" t="inlineStr">
        <is>
          <t>22-Oct-26</t>
        </is>
      </c>
      <c r="G108" s="66" t="inlineStr">
        <is>
          <t>02-Nov-26</t>
        </is>
      </c>
      <c r="H108" s="66" t="n"/>
      <c r="I108" s="66" t="n"/>
      <c r="J108" s="87" t="n"/>
      <c r="K108" s="88" t="inlineStr">
        <is>
          <t>Not Started</t>
        </is>
      </c>
      <c r="L108" s="124" t="inlineStr">
        <is>
          <t>0%</t>
        </is>
      </c>
      <c r="M108" s="86" t="inlineStr">
        <is>
          <t>FE + BE</t>
        </is>
      </c>
      <c r="N108" s="123" t="n"/>
      <c r="O108" s="123" t="n"/>
    </row>
    <row r="109" hidden="1" ht="31.5" customHeight="1">
      <c r="A109" s="100" t="n">
        <v>100</v>
      </c>
      <c r="B109" s="125" t="inlineStr">
        <is>
          <t>Audit, Logging &amp; Monitoring</t>
        </is>
      </c>
      <c r="C109" s="34" t="inlineStr">
        <is>
          <t>Business &amp; Functional Audit</t>
        </is>
      </c>
      <c r="D109" s="34" t="inlineStr">
        <is>
          <t>Immutable business/user/config/override/approval/SAP audit trail</t>
        </is>
      </c>
      <c r="E109" s="97" t="inlineStr">
        <is>
          <t>Capture lifecycle, document, validation, HITL, config, approval, vendor communication and SAP/RPA events.</t>
        </is>
      </c>
      <c r="F109" s="68" t="inlineStr">
        <is>
          <t>20-Oct-26</t>
        </is>
      </c>
      <c r="G109" s="68" t="inlineStr">
        <is>
          <t>23-Oct-26</t>
        </is>
      </c>
      <c r="H109" s="68" t="n"/>
      <c r="I109" s="68" t="n"/>
      <c r="J109" s="87" t="n"/>
      <c r="K109" s="88" t="inlineStr">
        <is>
          <t>Not Started</t>
        </is>
      </c>
      <c r="L109" s="126" t="inlineStr">
        <is>
          <t>0%</t>
        </is>
      </c>
      <c r="M109" s="89" t="inlineStr">
        <is>
          <t>BE + DB</t>
        </is>
      </c>
      <c r="N109" s="97" t="n"/>
      <c r="O109" s="97" t="n"/>
    </row>
    <row r="110" hidden="1" ht="31.5" customHeight="1">
      <c r="A110" s="82" t="n">
        <v>101</v>
      </c>
      <c r="B110" s="125" t="inlineStr">
        <is>
          <t>Audit, Logging &amp; Monitoring</t>
        </is>
      </c>
      <c r="C110" s="34" t="inlineStr">
        <is>
          <t>Technical Logging &amp; Diagnostics</t>
        </is>
      </c>
      <c r="D110" s="34" t="inlineStr">
        <is>
          <t>Structured logging, correlation IDs and error catalogue</t>
        </is>
      </c>
      <c r="E110" s="97" t="inlineStr">
        <is>
          <t>Implement common technical log schema, correlation propagation, severity/event/error codes and redaction.</t>
        </is>
      </c>
      <c r="F110" s="68" t="inlineStr">
        <is>
          <t>20-Oct-26</t>
        </is>
      </c>
      <c r="G110" s="68" t="inlineStr">
        <is>
          <t>23-Oct-26</t>
        </is>
      </c>
      <c r="H110" s="68" t="n"/>
      <c r="I110" s="68" t="n"/>
      <c r="J110" s="87" t="n"/>
      <c r="K110" s="88" t="inlineStr">
        <is>
          <t>Not Started</t>
        </is>
      </c>
      <c r="L110" s="126" t="inlineStr">
        <is>
          <t>0%</t>
        </is>
      </c>
      <c r="M110" s="89" t="inlineStr">
        <is>
          <t>BE</t>
        </is>
      </c>
      <c r="N110" s="97" t="n"/>
      <c r="O110" s="97" t="n"/>
    </row>
    <row r="111" hidden="1" ht="31.5" customHeight="1">
      <c r="A111" s="82" t="n">
        <v>102</v>
      </c>
      <c r="B111" s="125" t="inlineStr">
        <is>
          <t>Audit, Logging &amp; Monitoring</t>
        </is>
      </c>
      <c r="C111" s="34" t="inlineStr">
        <is>
          <t>Application Monitoring</t>
        </is>
      </c>
      <c r="D111" s="34" t="inlineStr">
        <is>
          <t>Application Insights, health, metrics, alerts and support diagnostics</t>
        </is>
      </c>
      <c r="E111" s="97" t="inlineStr">
        <is>
          <t>Publish availability, latency, errors, scheduler/integration/GPT/queue health and support-facing diagnostic visibility.</t>
        </is>
      </c>
      <c r="F111" s="68" t="inlineStr">
        <is>
          <t>20-Oct-26</t>
        </is>
      </c>
      <c r="G111" s="68" t="inlineStr">
        <is>
          <t>23-Oct-26</t>
        </is>
      </c>
      <c r="H111" s="68" t="n"/>
      <c r="I111" s="68" t="n"/>
      <c r="J111" s="87" t="n"/>
      <c r="K111" s="88" t="inlineStr">
        <is>
          <t>Not Started</t>
        </is>
      </c>
      <c r="L111" s="126" t="inlineStr">
        <is>
          <t>0%</t>
        </is>
      </c>
      <c r="M111" s="89" t="inlineStr">
        <is>
          <t>BE + Integration</t>
        </is>
      </c>
      <c r="N111" s="97" t="n"/>
      <c r="O111" s="97" t="n"/>
    </row>
    <row r="112" hidden="1" ht="31.5" customHeight="1">
      <c r="A112" s="82" t="n">
        <v>103</v>
      </c>
      <c r="B112" s="127" t="inlineStr">
        <is>
          <t>Security &amp; API Controls</t>
        </is>
      </c>
      <c r="C112" s="128" t="inlineStr">
        <is>
          <t>API &amp; File Security</t>
        </is>
      </c>
      <c r="D112" s="128" t="inlineStr">
        <is>
          <t>API authentication/authorization, request validation and file access controls</t>
        </is>
      </c>
      <c r="E112" s="129" t="inlineStr">
        <is>
          <t>Apply auth/authz middleware, input validation, CORS/abuse controls and safe upload/download/doc authorization.</t>
        </is>
      </c>
      <c r="F112" s="70" t="inlineStr">
        <is>
          <t>15-Oct-26</t>
        </is>
      </c>
      <c r="G112" s="70" t="inlineStr">
        <is>
          <t>26-Oct-26</t>
        </is>
      </c>
      <c r="H112" s="70" t="n"/>
      <c r="I112" s="70" t="n"/>
      <c r="J112" s="87" t="n"/>
      <c r="K112" s="88" t="inlineStr">
        <is>
          <t>Not Started</t>
        </is>
      </c>
      <c r="L112" s="130" t="inlineStr">
        <is>
          <t>0%</t>
        </is>
      </c>
      <c r="M112" s="89" t="inlineStr">
        <is>
          <t>BE</t>
        </is>
      </c>
      <c r="N112" s="129" t="n"/>
      <c r="O112" s="129" t="n"/>
    </row>
    <row r="113" hidden="1" ht="31.5" customHeight="1">
      <c r="A113" s="100" t="n">
        <v>104</v>
      </c>
      <c r="B113" s="127" t="inlineStr">
        <is>
          <t>Security &amp; API Controls</t>
        </is>
      </c>
      <c r="C113" s="128" t="inlineStr">
        <is>
          <t>Secrets &amp; Data Protection</t>
        </is>
      </c>
      <c r="D113" s="128" t="inlineStr">
        <is>
          <t>Secrets handling, masking and secure configuration</t>
        </is>
      </c>
      <c r="E113" s="129" t="inlineStr">
        <is>
          <t>Keep secrets outside code, enforce approved secret/config references and mask sensitive values in UI/logging.</t>
        </is>
      </c>
      <c r="F113" s="70" t="inlineStr">
        <is>
          <t>15-Oct-26</t>
        </is>
      </c>
      <c r="G113" s="70" t="inlineStr">
        <is>
          <t>26-Oct-26</t>
        </is>
      </c>
      <c r="H113" s="70" t="n"/>
      <c r="I113" s="70" t="n"/>
      <c r="J113" s="87" t="n"/>
      <c r="K113" s="88" t="inlineStr">
        <is>
          <t>Not Started</t>
        </is>
      </c>
      <c r="L113" s="130" t="inlineStr">
        <is>
          <t>0%</t>
        </is>
      </c>
      <c r="M113" s="89" t="inlineStr">
        <is>
          <t>BE</t>
        </is>
      </c>
      <c r="N113" s="129" t="n"/>
      <c r="O113" s="129" t="n"/>
    </row>
    <row r="114" hidden="1" ht="31.5" customHeight="1">
      <c r="A114" s="82" t="n">
        <v>105</v>
      </c>
      <c r="B114" s="127" t="inlineStr">
        <is>
          <t>Security &amp; API Controls</t>
        </is>
      </c>
      <c r="C114" s="128" t="inlineStr">
        <is>
          <t>Data Integrity &amp; Concurrency</t>
        </is>
      </c>
      <c r="D114" s="128" t="inlineStr">
        <is>
          <t>DB integrity, concurrency and immutable-history protections</t>
        </is>
      </c>
      <c r="E114" s="129" t="inlineStr">
        <is>
          <t>Implement required FKs/uniqueness/indexes, optimistic/atomic concurrency patterns and append-only audit/history protections.</t>
        </is>
      </c>
      <c r="F114" s="70" t="inlineStr">
        <is>
          <t>15-Oct-26</t>
        </is>
      </c>
      <c r="G114" s="70" t="inlineStr">
        <is>
          <t>26-Oct-26</t>
        </is>
      </c>
      <c r="H114" s="70" t="n"/>
      <c r="I114" s="70" t="n"/>
      <c r="J114" s="87" t="n"/>
      <c r="K114" s="88" t="inlineStr">
        <is>
          <t>Not Started</t>
        </is>
      </c>
      <c r="L114" s="130" t="inlineStr">
        <is>
          <t>0%</t>
        </is>
      </c>
      <c r="M114" s="89" t="inlineStr">
        <is>
          <t>BE + DB</t>
        </is>
      </c>
      <c r="N114" s="129" t="n"/>
      <c r="O114" s="129" t="n"/>
    </row>
    <row r="115" hidden="1" ht="31.5" customHeight="1">
      <c r="A115" s="82" t="n">
        <v>106</v>
      </c>
      <c r="B115" s="131" t="inlineStr">
        <is>
          <t>Email Template Config</t>
        </is>
      </c>
      <c r="C115" s="132" t="inlineStr">
        <is>
          <t>Admin Email Templates</t>
        </is>
      </c>
      <c r="D115" s="132" t="inlineStr">
        <is>
          <t>Email template configuration UI</t>
        </is>
      </c>
      <c r="E115" s="133" t="inlineStr">
        <is>
          <t>Configure all email templates: Invoice received, Exception created, Approval requested, Approval overdue, Invoice approved, Invoice rejected, Invoice posted in SAP, Invoice paid, Vendor missing document email.</t>
        </is>
      </c>
      <c r="F115" s="72" t="inlineStr">
        <is>
          <t>28-Aug-26</t>
        </is>
      </c>
      <c r="G115" s="72" t="inlineStr">
        <is>
          <t>01-Sep-26</t>
        </is>
      </c>
      <c r="H115" s="72" t="inlineStr">
        <is>
          <t>28-Aug-26</t>
        </is>
      </c>
      <c r="I115" s="72" t="n"/>
      <c r="J115" s="87" t="inlineStr">
        <is>
          <t>Rahul</t>
        </is>
      </c>
      <c r="K115" s="98" t="inlineStr">
        <is>
          <t>In Progress</t>
        </is>
      </c>
      <c r="L115" s="134" t="inlineStr">
        <is>
          <t>5%</t>
        </is>
      </c>
      <c r="M115" s="86" t="inlineStr">
        <is>
          <t>FE + BE</t>
        </is>
      </c>
      <c r="N115" s="133" t="n"/>
      <c r="O115" s="133" t="n"/>
    </row>
    <row r="116" hidden="1" ht="31.5" customHeight="1">
      <c r="A116" s="82" t="n">
        <v>107</v>
      </c>
      <c r="B116" s="135" t="inlineStr">
        <is>
          <t>Scheduler &amp; Reliability</t>
        </is>
      </c>
      <c r="C116" s="136" t="inlineStr">
        <is>
          <t>Scheduler &amp; Recovery Framework</t>
        </is>
      </c>
      <c r="D116" s="136" t="inlineStr">
        <is>
          <t>Background schedulers, locking, resilience, retry/replay and runtime controls</t>
        </is>
      </c>
      <c r="E116" s="137" t="inlineStr">
        <is>
          <t>Provide reusable scheduling/checkpoint/locking, retry/backoff/circuit/dead-letter patterns and authorized replay/recovery.</t>
        </is>
      </c>
      <c r="F116" s="74" t="inlineStr">
        <is>
          <t>03-Nov-26</t>
        </is>
      </c>
      <c r="G116" s="74" t="inlineStr">
        <is>
          <t>17-Nov-26</t>
        </is>
      </c>
      <c r="H116" s="74" t="n"/>
      <c r="I116" s="74" t="n"/>
      <c r="J116" s="87" t="n"/>
      <c r="K116" s="88" t="inlineStr">
        <is>
          <t>Not Started</t>
        </is>
      </c>
      <c r="L116" s="138" t="inlineStr">
        <is>
          <t>0%</t>
        </is>
      </c>
      <c r="M116" s="89" t="inlineStr">
        <is>
          <t>BE</t>
        </is>
      </c>
      <c r="N116" s="137" t="n"/>
      <c r="O116" s="137" t="n"/>
    </row>
  </sheetData>
  <autoFilter ref="A3:O116">
    <filterColumn colId="9" hiddenButton="0" showButton="1">
      <filters>
        <filter val="Sabrina"/>
      </filters>
    </filterColumn>
  </autoFilter>
  <mergeCells count="2">
    <mergeCell ref="A1:O1"/>
    <mergeCell ref="A2:O2"/>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G24"/>
  <sheetViews>
    <sheetView zoomScaleNormal="100" workbookViewId="0">
      <pane ySplit="3" topLeftCell="A5" activePane="bottomLeft" state="frozen"/>
      <selection pane="bottomLeft" activeCell="A1" sqref="A1"/>
    </sheetView>
  </sheetViews>
  <sheetFormatPr baseColWidth="8" defaultColWidth="8.5703125" defaultRowHeight="15"/>
  <cols>
    <col width="10" customWidth="1" min="1" max="1"/>
    <col width="20" customWidth="1" min="2" max="2"/>
    <col width="40" customWidth="1" min="3" max="3"/>
    <col width="32" customWidth="1" min="4" max="4"/>
    <col width="18" customWidth="1" min="5" max="5"/>
    <col width="12" customWidth="1" min="6" max="6"/>
    <col width="28" customWidth="1" min="7" max="7"/>
  </cols>
  <sheetData>
    <row r="1" ht="30" customHeight="1">
      <c r="A1" s="222" t="inlineStr">
        <is>
          <t>ESSA EAPA — Open Inputs &amp; Pending Decisions</t>
        </is>
      </c>
    </row>
    <row r="2" ht="15.75" customHeight="1">
      <c r="A2" s="226" t="inlineStr">
        <is>
          <t>These inputs are required from ESSA before the impacted modules can be completed. Update Status as inputs are received.</t>
        </is>
      </c>
    </row>
    <row r="3" ht="19.5" customHeight="1">
      <c r="A3" s="225" t="inlineStr">
        <is>
          <t>Input ID</t>
        </is>
      </c>
      <c r="B3" s="225" t="inlineStr">
        <is>
          <t>Area</t>
        </is>
      </c>
      <c r="C3" s="225" t="inlineStr">
        <is>
          <t>Pending Input / Decision</t>
        </is>
      </c>
      <c r="D3" s="225" t="inlineStr">
        <is>
          <t>Impacted Module(s)</t>
        </is>
      </c>
      <c r="E3" s="225" t="inlineStr">
        <is>
          <t>Expected From</t>
        </is>
      </c>
      <c r="F3" s="225" t="inlineStr">
        <is>
          <t>Status</t>
        </is>
      </c>
      <c r="G3" s="225" t="inlineStr">
        <is>
          <t>Remarks</t>
        </is>
      </c>
    </row>
    <row r="4" ht="31.5" customHeight="1">
      <c r="A4" s="126" t="inlineStr">
        <is>
          <t>INP-001</t>
        </is>
      </c>
      <c r="B4" s="67" t="inlineStr">
        <is>
          <t>Invoice Categories</t>
        </is>
      </c>
      <c r="C4" s="34" t="inlineStr">
        <is>
          <t>Final in-scope invoice category/subcategory list and category codes.</t>
        </is>
      </c>
      <c r="D4" s="97" t="inlineStr">
        <is>
          <t>Admin &amp; Configuration; Category-Specific Processing</t>
        </is>
      </c>
      <c r="E4" s="68" t="inlineStr">
        <is>
          <t>ESSA AP Team</t>
        </is>
      </c>
      <c r="F4" s="150" t="inlineStr">
        <is>
          <t>Open</t>
        </is>
      </c>
      <c r="G4" s="97" t="inlineStr">
        <is>
          <t>Required to publish the initial category rollout configuration.</t>
        </is>
      </c>
    </row>
    <row r="5" ht="31.5" customHeight="1">
      <c r="A5" s="126" t="inlineStr">
        <is>
          <t>INP-002</t>
        </is>
      </c>
      <c r="B5" s="67" t="inlineStr">
        <is>
          <t>Document Matrix</t>
        </is>
      </c>
      <c r="C5" s="34" t="inlineStr">
        <is>
          <t>Final required/optional/conditional supporting-document matrix by category and PO terms.</t>
        </is>
      </c>
      <c r="D5" s="97" t="inlineStr">
        <is>
          <t>Admin &amp; Configuration; Core Validation Engine</t>
        </is>
      </c>
      <c r="E5" s="68" t="inlineStr">
        <is>
          <t>ESSA AP Team</t>
        </is>
      </c>
      <c r="F5" s="150" t="inlineStr">
        <is>
          <t>Open</t>
        </is>
      </c>
      <c r="G5" s="97" t="inlineStr">
        <is>
          <t>Required for completeness, conditional-document and processing-mode configuration.</t>
        </is>
      </c>
    </row>
    <row r="6" ht="31.5" customHeight="1">
      <c r="A6" s="126" t="inlineStr">
        <is>
          <t>INP-003</t>
        </is>
      </c>
      <c r="B6" s="67" t="inlineStr">
        <is>
          <t>Field Mapping</t>
        </is>
      </c>
      <c r="C6" s="34" t="inlineStr">
        <is>
          <t>Final field mapping / Annexure B by document and category.</t>
        </is>
      </c>
      <c r="D6" s="97" t="inlineStr">
        <is>
          <t>Admin &amp; Configuration; Azure OpenAI Processing; HITL; Core Validation Engine</t>
        </is>
      </c>
      <c r="E6" s="68" t="inlineStr">
        <is>
          <t>ESSA AP Team</t>
        </is>
      </c>
      <c r="F6" s="150" t="inlineStr">
        <is>
          <t>Open</t>
        </is>
      </c>
      <c r="G6" s="97" t="inlineStr">
        <is>
          <t>Needed for extraction schema, prompts, review and validation context.</t>
        </is>
      </c>
    </row>
    <row r="7" ht="31.5" customHeight="1">
      <c r="A7" s="126" t="inlineStr">
        <is>
          <t>INP-004</t>
        </is>
      </c>
      <c r="B7" s="67" t="inlineStr">
        <is>
          <t>DoA Matrix</t>
        </is>
      </c>
      <c r="C7" s="34" t="inlineStr">
        <is>
          <t>Complete Delegation of Authority matrix and routing attributes.</t>
        </is>
      </c>
      <c r="D7" s="97" t="inlineStr">
        <is>
          <t>Admin &amp; Configuration; Workflow &amp; Approval</t>
        </is>
      </c>
      <c r="E7" s="68" t="inlineStr">
        <is>
          <t>ESSA Finance</t>
        </is>
      </c>
      <c r="F7" s="150" t="inlineStr">
        <is>
          <t>Open</t>
        </is>
      </c>
      <c r="G7" s="97" t="inlineStr">
        <is>
          <t>Required for deterministic approver routing.</t>
        </is>
      </c>
    </row>
    <row r="8" ht="31.5" customHeight="1">
      <c r="A8" s="126" t="inlineStr">
        <is>
          <t>INP-005</t>
        </is>
      </c>
      <c r="B8" s="67" t="inlineStr">
        <is>
          <t>Tax Workflow</t>
        </is>
      </c>
      <c r="C8" s="34" t="inlineStr">
        <is>
          <t>Final Tax Team applicability and sequence relative to AP/DoA approval.</t>
        </is>
      </c>
      <c r="D8" s="97" t="inlineStr">
        <is>
          <t>Workflow &amp; Approval; Financial Adjustments &amp; Tax</t>
        </is>
      </c>
      <c r="E8" s="68" t="inlineStr">
        <is>
          <t>ESSA Finance/Tax</t>
        </is>
      </c>
      <c r="F8" s="150" t="inlineStr">
        <is>
          <t>Open</t>
        </is>
      </c>
      <c r="G8" s="97" t="inlineStr">
        <is>
          <t>Final sequence must be confirmed before workflow completion.</t>
        </is>
      </c>
    </row>
    <row r="9" ht="31.5" customHeight="1">
      <c r="A9" s="126" t="inlineStr">
        <is>
          <t>INP-006</t>
        </is>
      </c>
      <c r="B9" s="67" t="inlineStr">
        <is>
          <t>Approval Channels</t>
        </is>
      </c>
      <c r="C9" s="34" t="inlineStr">
        <is>
          <t>Final decision on Teams primary, portal fallback and whether direct Email action is supported.</t>
        </is>
      </c>
      <c r="D9" s="97" t="inlineStr">
        <is>
          <t>Workflow &amp; Approval; SLA &amp; Notifications</t>
        </is>
      </c>
      <c r="E9" s="68" t="inlineStr">
        <is>
          <t>ESSA</t>
        </is>
      </c>
      <c r="F9" s="150" t="inlineStr">
        <is>
          <t>Open</t>
        </is>
      </c>
      <c r="G9" s="97" t="inlineStr">
        <is>
          <t>Avoid implementing conflicting channel behavior.</t>
        </is>
      </c>
    </row>
    <row r="10" ht="31.5" customHeight="1">
      <c r="A10" s="126" t="inlineStr">
        <is>
          <t>INP-007</t>
        </is>
      </c>
      <c r="B10" s="67" t="inlineStr">
        <is>
          <t>WHT / Treaty</t>
        </is>
      </c>
      <c r="C10" s="34" t="inlineStr">
        <is>
          <t>Offshore identification, treaty mapping and WHT condition fields.</t>
        </is>
      </c>
      <c r="D10" s="97" t="inlineStr">
        <is>
          <t>Financial Adjustments &amp; Tax; Category-Specific Processing</t>
        </is>
      </c>
      <c r="E10" s="68" t="inlineStr">
        <is>
          <t>ESSA Tax</t>
        </is>
      </c>
      <c r="F10" s="150" t="inlineStr">
        <is>
          <t>Open</t>
        </is>
      </c>
      <c r="G10" s="97" t="inlineStr">
        <is>
          <t>Required for deterministic WHT calculations.</t>
        </is>
      </c>
    </row>
    <row r="11" ht="31.5" customHeight="1">
      <c r="A11" s="126" t="inlineStr">
        <is>
          <t>INP-008</t>
        </is>
      </c>
      <c r="B11" s="67" t="inlineStr">
        <is>
          <t>LD / Incoterm</t>
        </is>
      </c>
      <c r="C11" s="34" t="inlineStr">
        <is>
          <t>Final 17-incoterm LD matrix, milestones and calculation rules.</t>
        </is>
      </c>
      <c r="D11" s="97" t="inlineStr">
        <is>
          <t>Category-Specific Processing; Financial Adjustments &amp; Tax</t>
        </is>
      </c>
      <c r="E11" s="68" t="inlineStr">
        <is>
          <t>ESSA Procurement/Finance</t>
        </is>
      </c>
      <c r="F11" s="150" t="inlineStr">
        <is>
          <t>Open</t>
        </is>
      </c>
      <c r="G11" s="97" t="inlineStr">
        <is>
          <t>Required for Material Import and other applicable LD calculations.</t>
        </is>
      </c>
    </row>
    <row r="12" ht="31.5" customHeight="1">
      <c r="A12" s="126" t="inlineStr">
        <is>
          <t>INP-009</t>
        </is>
      </c>
      <c r="B12" s="67" t="inlineStr">
        <is>
          <t>SAP Objects</t>
        </is>
      </c>
      <c r="C12" s="34" t="inlineStr">
        <is>
          <t>Confirmed SAP reference-data objects, fields and business keys.</t>
        </is>
      </c>
      <c r="D12" s="97" t="inlineStr">
        <is>
          <t>SAP Reference Data Integration; Core Validation Engine</t>
        </is>
      </c>
      <c r="E12" s="68" t="inlineStr">
        <is>
          <t>ESSA SAP Team</t>
        </is>
      </c>
      <c r="F12" s="150" t="inlineStr">
        <is>
          <t>Open</t>
        </is>
      </c>
      <c r="G12" s="97" t="inlineStr">
        <is>
          <t>Defines inbound CSV objects and runtime validation context.</t>
        </is>
      </c>
    </row>
    <row r="13" ht="31.5" customHeight="1">
      <c r="A13" s="126" t="inlineStr">
        <is>
          <t>INP-010</t>
        </is>
      </c>
      <c r="B13" s="67" t="inlineStr">
        <is>
          <t>SAP CSV Contract</t>
        </is>
      </c>
      <c r="C13" s="34" t="inlineStr">
        <is>
          <t>Final CSV naming, schema, schedule and retention/reconciliation rules.</t>
        </is>
      </c>
      <c r="D13" s="97" t="inlineStr">
        <is>
          <t>SAP Reference Data Integration; SAP Lifecycle Status Sync</t>
        </is>
      </c>
      <c r="E13" s="68" t="inlineStr">
        <is>
          <t>ESSA SAP Team</t>
        </is>
      </c>
      <c r="F13" s="150" t="inlineStr">
        <is>
          <t>Open</t>
        </is>
      </c>
      <c r="G13" s="97" t="inlineStr">
        <is>
          <t>Required for inbound batch implementation.</t>
        </is>
      </c>
    </row>
    <row r="14" ht="31.5" customHeight="1">
      <c r="A14" s="126" t="inlineStr">
        <is>
          <t>INP-011</t>
        </is>
      </c>
      <c r="B14" s="67" t="inlineStr">
        <is>
          <t>SAP Parking Mapping</t>
        </is>
      </c>
      <c r="C14" s="34" t="inlineStr">
        <is>
          <t>Final MIRO/FB60 field mapping and parking payload contract.</t>
        </is>
      </c>
      <c r="D14" s="97" t="inlineStr">
        <is>
          <t>SAP Parking / RPA</t>
        </is>
      </c>
      <c r="E14" s="68" t="inlineStr">
        <is>
          <t>ESSA SAP Team</t>
        </is>
      </c>
      <c r="F14" s="150" t="inlineStr">
        <is>
          <t>Open</t>
        </is>
      </c>
      <c r="G14" s="97" t="inlineStr">
        <is>
          <t>Required for RPA transaction automation.</t>
        </is>
      </c>
    </row>
    <row r="15" ht="31.5" customHeight="1">
      <c r="A15" s="106" t="inlineStr">
        <is>
          <t>INP-012</t>
        </is>
      </c>
      <c r="B15" s="59" t="inlineStr">
        <is>
          <t>SAP GOS</t>
        </is>
      </c>
      <c r="C15" s="102" t="inlineStr">
        <is>
          <t>GOS attachment requirements, permissions and supported document behavior.</t>
        </is>
      </c>
      <c r="D15" s="103" t="inlineStr">
        <is>
          <t>SAP Parking / RPA</t>
        </is>
      </c>
      <c r="E15" s="60" t="inlineStr">
        <is>
          <t>ESSA SAP Team</t>
        </is>
      </c>
      <c r="F15" s="85" t="inlineStr">
        <is>
          <t>Resolved</t>
        </is>
      </c>
      <c r="G15" s="103" t="inlineStr">
        <is>
          <t>Required for attachment upload automation.</t>
        </is>
      </c>
    </row>
    <row r="16" ht="31.5" customHeight="1">
      <c r="A16" s="126" t="inlineStr">
        <is>
          <t>INP-013</t>
        </is>
      </c>
      <c r="B16" s="67" t="inlineStr">
        <is>
          <t>RPA Access</t>
        </is>
      </c>
      <c r="C16" s="34" t="inlineStr">
        <is>
          <t>SAP GUI, Power Automate Desktop runtime identity and execution access.</t>
        </is>
      </c>
      <c r="D16" s="97" t="inlineStr">
        <is>
          <t>SAP Parking / RPA</t>
        </is>
      </c>
      <c r="E16" s="68" t="inlineStr">
        <is>
          <t>ESSA IT / SAP</t>
        </is>
      </c>
      <c r="F16" s="150" t="inlineStr">
        <is>
          <t>Open</t>
        </is>
      </c>
      <c r="G16" s="97" t="inlineStr">
        <is>
          <t>Required before RPA integration can complete.</t>
        </is>
      </c>
    </row>
    <row r="17" ht="31.5" customHeight="1">
      <c r="A17" s="126" t="inlineStr">
        <is>
          <t>INP-014</t>
        </is>
      </c>
      <c r="B17" s="67" t="inlineStr">
        <is>
          <t>Mailbox &amp; SharePoint</t>
        </is>
      </c>
      <c r="C17" s="34" t="inlineStr">
        <is>
          <t>Final AP mailbox, service identity, SharePoint intake/storage locations and permissions.</t>
        </is>
      </c>
      <c r="D17" s="97" t="inlineStr">
        <is>
          <t>Invoice Ingestion; Document Management</t>
        </is>
      </c>
      <c r="E17" s="68" t="inlineStr">
        <is>
          <t>ESSA IT</t>
        </is>
      </c>
      <c r="F17" s="150" t="inlineStr">
        <is>
          <t>Open</t>
        </is>
      </c>
      <c r="G17" s="97" t="inlineStr">
        <is>
          <t>Required for intake/storage integration setup.</t>
        </is>
      </c>
    </row>
    <row r="18" ht="31.5" customHeight="1">
      <c r="A18" s="126" t="inlineStr">
        <is>
          <t>INP-015</t>
        </is>
      </c>
      <c r="B18" s="67" t="inlineStr">
        <is>
          <t>Entra / Fiori</t>
        </is>
      </c>
      <c r="C18" s="34" t="inlineStr">
        <is>
          <t>Entra app registration, redirect URLs, groups/role mapping and Fiori launch configuration.</t>
        </is>
      </c>
      <c r="D18" s="97" t="inlineStr">
        <is>
          <t>Authentication &amp; Access</t>
        </is>
      </c>
      <c r="E18" s="68" t="inlineStr">
        <is>
          <t>ESSA IT</t>
        </is>
      </c>
      <c r="F18" s="150" t="inlineStr">
        <is>
          <t>Open</t>
        </is>
      </c>
      <c r="G18" s="97" t="inlineStr">
        <is>
          <t>Required for SSO/RBAC and approved launch path.</t>
        </is>
      </c>
    </row>
    <row r="19" ht="31.5" customHeight="1">
      <c r="A19" s="126" t="inlineStr">
        <is>
          <t>INP-016</t>
        </is>
      </c>
      <c r="B19" s="67" t="inlineStr">
        <is>
          <t>SLA</t>
        </is>
      </c>
      <c r="C19" s="34" t="inlineStr">
        <is>
          <t>Final due-date definitions, reminder/escalation thresholds and calendars.</t>
        </is>
      </c>
      <c r="D19" s="97" t="inlineStr">
        <is>
          <t>Admin &amp; Configuration; SLA &amp; Notifications</t>
        </is>
      </c>
      <c r="E19" s="68" t="inlineStr">
        <is>
          <t>ESSA AP Team</t>
        </is>
      </c>
      <c r="F19" s="150" t="inlineStr">
        <is>
          <t>Open</t>
        </is>
      </c>
      <c r="G19" s="97" t="inlineStr">
        <is>
          <t>Required for SLA engine and scheduler.</t>
        </is>
      </c>
    </row>
    <row r="20" ht="31.5" customHeight="1">
      <c r="A20" s="126" t="inlineStr">
        <is>
          <t>INP-017</t>
        </is>
      </c>
      <c r="B20" s="67" t="inlineStr">
        <is>
          <t>Error / Retry Policy</t>
        </is>
      </c>
      <c r="C20" s="34" t="inlineStr">
        <is>
          <t>Final operational retry limits, replay ownership and recovery boundaries for integrations.</t>
        </is>
      </c>
      <c r="D20" s="97" t="inlineStr">
        <is>
          <t>Scheduler, Reliability &amp; Support; Audit, Logging &amp; Monitoring</t>
        </is>
      </c>
      <c r="E20" s="68" t="inlineStr">
        <is>
          <t>ESSA IT / Avensys</t>
        </is>
      </c>
      <c r="F20" s="150" t="inlineStr">
        <is>
          <t>Open</t>
        </is>
      </c>
      <c r="G20" s="97" t="inlineStr">
        <is>
          <t>Can be finalized during detailed design/development.</t>
        </is>
      </c>
    </row>
    <row r="21" ht="31.5" customHeight="1">
      <c r="A21" s="126" t="inlineStr">
        <is>
          <t>INP-018</t>
        </is>
      </c>
      <c r="B21" s="67" t="inlineStr">
        <is>
          <t>Biometric Interface</t>
        </is>
      </c>
      <c r="C21" s="34" t="inlineStr">
        <is>
          <t>Final biometric/attendance API payload, security, employee mapping and missing-data handling.</t>
        </is>
      </c>
      <c r="D21" s="97" t="inlineStr">
        <is>
          <t>Biometric Integration; Category-Specific Processing</t>
        </is>
      </c>
      <c r="E21" s="68" t="inlineStr">
        <is>
          <t>ESSA IT / Business</t>
        </is>
      </c>
      <c r="F21" s="150" t="inlineStr">
        <is>
          <t>Open</t>
        </is>
      </c>
      <c r="G21" s="97" t="inlineStr">
        <is>
          <t>Required for manpower/catering/housekeeping reconciliation.</t>
        </is>
      </c>
    </row>
    <row r="22" ht="31.5" customHeight="1">
      <c r="A22" s="126" t="inlineStr">
        <is>
          <t>INP-019</t>
        </is>
      </c>
      <c r="B22" s="67" t="inlineStr">
        <is>
          <t>Faktur Pajak / Tax Rules</t>
        </is>
      </c>
      <c r="C22" s="34" t="inlineStr">
        <is>
          <t>Final Faktur Pajak format, age/effective-date, uniqueness and tax validation rules.</t>
        </is>
      </c>
      <c r="D22" s="97" t="inlineStr">
        <is>
          <t>Financial Adjustments &amp; Tax</t>
        </is>
      </c>
      <c r="E22" s="68" t="inlineStr">
        <is>
          <t>ESSA Tax</t>
        </is>
      </c>
      <c r="F22" s="150" t="inlineStr">
        <is>
          <t>Open</t>
        </is>
      </c>
      <c r="G22" s="97" t="inlineStr">
        <is>
          <t>Required for deterministic tax-document validation.</t>
        </is>
      </c>
    </row>
    <row r="23" ht="31.5" customHeight="1">
      <c r="A23" s="126" t="inlineStr">
        <is>
          <t>INP-020</t>
        </is>
      </c>
      <c r="B23" s="67" t="inlineStr">
        <is>
          <t>Category Samples</t>
        </is>
      </c>
      <c r="C23" s="34" t="inlineStr">
        <is>
          <t>Final samples and rule details for Civil, Natural Gas, Catering, Housekeeping, Travel and Composite PO.</t>
        </is>
      </c>
      <c r="D23" s="97" t="inlineStr">
        <is>
          <t>Category-Specific Processing</t>
        </is>
      </c>
      <c r="E23" s="68" t="inlineStr">
        <is>
          <t>ESSA AP / Tax / Procurement</t>
        </is>
      </c>
      <c r="F23" s="150" t="inlineStr">
        <is>
          <t>Open</t>
        </is>
      </c>
      <c r="G23" s="97" t="inlineStr">
        <is>
          <t>Used to finalize category-specific algorithms.</t>
        </is>
      </c>
    </row>
    <row r="24" ht="31.5" customHeight="1">
      <c r="A24" s="126" t="inlineStr">
        <is>
          <t>INP-021</t>
        </is>
      </c>
      <c r="B24" s="67" t="inlineStr">
        <is>
          <t>SAP IS to Azure Blob</t>
        </is>
      </c>
      <c r="C24" s="34" t="inlineStr">
        <is>
          <t>SAP IS pipeline/channel that picks up extracted CSV files and places them in Azure Blob.</t>
        </is>
      </c>
      <c r="D24" s="97" t="inlineStr">
        <is>
          <t>SAP Extraction</t>
        </is>
      </c>
      <c r="E24" s="68" t="inlineStr">
        <is>
          <t>ESSA SAP Team</t>
        </is>
      </c>
      <c r="F24" s="150" t="inlineStr">
        <is>
          <t>Open</t>
        </is>
      </c>
      <c r="G24" s="97" t="inlineStr">
        <is>
          <t>SAP IS configuration to maintain file transfer.</t>
        </is>
      </c>
    </row>
  </sheetData>
  <mergeCells count="2">
    <mergeCell ref="A2:G2"/>
    <mergeCell ref="A1:G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D15"/>
  <sheetViews>
    <sheetView zoomScaleNormal="100" workbookViewId="0">
      <selection activeCell="E22" sqref="E22"/>
    </sheetView>
  </sheetViews>
  <sheetFormatPr baseColWidth="8" defaultColWidth="8.5703125" defaultRowHeight="15"/>
  <cols>
    <col width="25" customWidth="1" min="1" max="1"/>
    <col width="20" customWidth="1" min="2" max="4"/>
  </cols>
  <sheetData>
    <row r="1" ht="24" customHeight="1">
      <c r="A1" s="227" t="inlineStr">
        <is>
          <t>Reference Data — Holidays, Statuses, Layers, Resources</t>
        </is>
      </c>
    </row>
    <row r="2" ht="15" customHeight="1">
      <c r="A2" s="225" t="inlineStr">
        <is>
          <t>SG / PH Holidays</t>
        </is>
      </c>
      <c r="B2" s="225" t="inlineStr">
        <is>
          <t>Status</t>
        </is>
      </c>
      <c r="C2" s="225" t="inlineStr">
        <is>
          <t>Layer</t>
        </is>
      </c>
      <c r="D2" s="225" t="inlineStr">
        <is>
          <t>Resource</t>
        </is>
      </c>
    </row>
    <row r="3" ht="15" customHeight="1">
      <c r="A3" s="151" t="inlineStr">
        <is>
          <t>10-Aug-26</t>
        </is>
      </c>
      <c r="B3" s="88" t="inlineStr">
        <is>
          <t>Not Started</t>
        </is>
      </c>
      <c r="C3" s="152" t="inlineStr">
        <is>
          <t>FE</t>
        </is>
      </c>
      <c r="D3" s="152" t="inlineStr">
        <is>
          <t>Rahul</t>
        </is>
      </c>
    </row>
    <row r="4" ht="15" customHeight="1">
      <c r="A4" s="153" t="inlineStr">
        <is>
          <t>09-Nov-26</t>
        </is>
      </c>
      <c r="B4" s="98" t="inlineStr">
        <is>
          <t>In Progress</t>
        </is>
      </c>
      <c r="C4" s="154" t="inlineStr">
        <is>
          <t>BE</t>
        </is>
      </c>
      <c r="D4" s="154" t="inlineStr">
        <is>
          <t>Sabrina</t>
        </is>
      </c>
    </row>
    <row r="5" ht="15" customHeight="1">
      <c r="A5" s="151" t="inlineStr">
        <is>
          <t>25-Dec-26</t>
        </is>
      </c>
      <c r="B5" s="85" t="inlineStr">
        <is>
          <t>Completed</t>
        </is>
      </c>
      <c r="C5" s="152" t="inlineStr">
        <is>
          <t>DB</t>
        </is>
      </c>
      <c r="D5" s="152" t="inlineStr">
        <is>
          <t>Khalid</t>
        </is>
      </c>
    </row>
    <row r="6" ht="15" customHeight="1">
      <c r="A6" s="153" t="inlineStr">
        <is>
          <t>01-Jan-27</t>
        </is>
      </c>
      <c r="B6" s="150" t="inlineStr">
        <is>
          <t>Blocked</t>
        </is>
      </c>
      <c r="C6" s="154" t="inlineStr">
        <is>
          <t>AI</t>
        </is>
      </c>
      <c r="D6" s="154" t="inlineStr">
        <is>
          <t>Natheera</t>
        </is>
      </c>
    </row>
    <row r="7" ht="15" customHeight="1">
      <c r="A7" s="151" t="inlineStr">
        <is>
          <t>06-Feb-27</t>
        </is>
      </c>
      <c r="B7" s="155" t="inlineStr">
        <is>
          <t>On Hold</t>
        </is>
      </c>
      <c r="C7" s="152" t="inlineStr">
        <is>
          <t>RPA</t>
        </is>
      </c>
      <c r="D7" s="152" t="inlineStr">
        <is>
          <t>ABAP</t>
        </is>
      </c>
    </row>
    <row r="8" ht="15" customHeight="1">
      <c r="A8" s="153" t="inlineStr">
        <is>
          <t>07-Feb-27</t>
        </is>
      </c>
      <c r="C8" s="154" t="inlineStr">
        <is>
          <t>Integration</t>
        </is>
      </c>
      <c r="D8" s="154" t="inlineStr">
        <is>
          <t>ESSA</t>
        </is>
      </c>
    </row>
    <row r="9" ht="15" customHeight="1">
      <c r="A9" s="151" t="inlineStr">
        <is>
          <t>10-Mar-27</t>
        </is>
      </c>
      <c r="C9" s="152" t="inlineStr">
        <is>
          <t>FE + BE</t>
        </is>
      </c>
      <c r="D9" s="152" t="inlineStr">
        <is>
          <t>Pranay</t>
        </is>
      </c>
    </row>
    <row r="10" ht="15" customHeight="1">
      <c r="A10" s="153" t="inlineStr">
        <is>
          <t>26-Mar-27</t>
        </is>
      </c>
      <c r="C10" s="154" t="inlineStr">
        <is>
          <t>BE + DB</t>
        </is>
      </c>
      <c r="D10" s="154" t="inlineStr">
        <is>
          <t>Anas</t>
        </is>
      </c>
    </row>
    <row r="11" ht="15" customHeight="1">
      <c r="C11" s="152" t="inlineStr">
        <is>
          <t>FE + BE + DB</t>
        </is>
      </c>
      <c r="D11" s="152" t="inlineStr">
        <is>
          <t>Suganth</t>
        </is>
      </c>
    </row>
    <row r="12" ht="15" customHeight="1">
      <c r="C12" s="154" t="inlineStr">
        <is>
          <t>BE + Integration</t>
        </is>
      </c>
    </row>
    <row r="13" ht="15" customHeight="1">
      <c r="C13" s="152" t="inlineStr">
        <is>
          <t>BE + AI</t>
        </is>
      </c>
    </row>
    <row r="14" ht="15" customHeight="1">
      <c r="C14" s="154" t="inlineStr">
        <is>
          <t>RPA + Integration</t>
        </is>
      </c>
    </row>
    <row r="15" ht="15" customHeight="1">
      <c r="C15" s="152" t="inlineStr">
        <is>
          <t>BE + DB + RPA</t>
        </is>
      </c>
    </row>
  </sheetData>
  <mergeCells count="1">
    <mergeCell ref="A1:D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2026-09-02T11:18:19Z</dcterms:created>
  <dcterms:modified xsi:type="dcterms:W3CDTF">2026-09-23T07:21:03Z</dcterms:modified>
  <cp:lastModifiedBy>Suganth Alagesan</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0x010100A5F42CE4752B414F8C5F44434A087137</vt:lpwstr>
  </property>
  <property name="MediaServiceImageTags" fmtid="{D5CDD505-2E9C-101B-9397-08002B2CF9AE}" pid="3">
    <vt:lpwstr/>
  </property>
</Properties>
</file>